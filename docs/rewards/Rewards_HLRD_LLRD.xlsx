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nsiGupta\myworld\life-experiences-webpage\docs\rewards\"/>
    </mc:Choice>
  </mc:AlternateContent>
  <xr:revisionPtr revIDLastSave="0" documentId="13_ncr:1_{F2A72F57-BFC8-4639-90DF-313413DB5214}" xr6:coauthVersionLast="47" xr6:coauthVersionMax="47" xr10:uidLastSave="{00000000-0000-0000-0000-000000000000}"/>
  <bookViews>
    <workbookView xWindow="20" yWindow="20" windowWidth="19180" windowHeight="10060" xr2:uid="{00000000-000D-0000-FFFF-FFFF00000000}"/>
  </bookViews>
  <sheets>
    <sheet name="Read Me" sheetId="1" r:id="rId1"/>
    <sheet name="Requirements Register" sheetId="2" r:id="rId2"/>
    <sheet name="Traceability" sheetId="3" r:id="rId3"/>
    <sheet name="HLRD 1. Executive summary" sheetId="4" r:id="rId4"/>
    <sheet name="HLRD 2. Discovery" sheetId="5" r:id="rId5"/>
    <sheet name="HLRD 3. As-Is" sheetId="6" r:id="rId6"/>
    <sheet name="HLRD 4. To-Be" sheetId="7" r:id="rId7"/>
    <sheet name="HLRD 5. Scope" sheetId="8" r:id="rId8"/>
    <sheet name="HLRD 6. High-level reqs" sheetId="9" r:id="rId9"/>
    <sheet name="HLRD 7. Stakeholders and RACI" sheetId="10" r:id="rId10"/>
    <sheet name="HLRD 8. Dependencies" sheetId="11" r:id="rId11"/>
    <sheet name="HLRD 9. Risks" sheetId="12" r:id="rId12"/>
    <sheet name="HLRD 10. Acceptance (MVP)" sheetId="13" r:id="rId13"/>
    <sheet name="LLRD 1. Detailed discovery" sheetId="14" r:id="rId14"/>
    <sheet name="LLRD 2. As-Is to To-Be" sheetId="15" r:id="rId15"/>
    <sheet name="LLRD 3. Functional reqs" sheetId="16" r:id="rId16"/>
    <sheet name="LLRD 4. Screen reqs" sheetId="17" r:id="rId17"/>
    <sheet name="LLRD 5. User-facing messages" sheetId="18" r:id="rId18"/>
    <sheet name="LLRD 6. Non-functional reqs" sheetId="19" r:id="rId19"/>
    <sheet name="LLRD 7. Traceability matrix" sheetId="20" r:id="rId20"/>
  </sheets>
  <definedNames>
    <definedName name="_xlnm._FilterDatabase" localSheetId="1" hidden="1">'Requirements Register'!$A$4:$J$127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3" l="1"/>
  <c r="F13" i="3"/>
  <c r="E13" i="3"/>
  <c r="D13" i="3"/>
  <c r="C13" i="3"/>
  <c r="B13" i="3"/>
  <c r="G12" i="3"/>
  <c r="F12" i="3"/>
  <c r="E12" i="3"/>
  <c r="D12" i="3"/>
  <c r="C12" i="3"/>
  <c r="B12" i="3"/>
  <c r="G11" i="3"/>
  <c r="F11" i="3"/>
  <c r="E11" i="3"/>
  <c r="D11" i="3"/>
  <c r="C11" i="3"/>
  <c r="B11" i="3"/>
  <c r="G10" i="3"/>
  <c r="F10" i="3"/>
  <c r="E10" i="3"/>
  <c r="D10" i="3"/>
  <c r="C10" i="3"/>
  <c r="H10" i="3" s="1"/>
  <c r="B10" i="3"/>
  <c r="G9" i="3"/>
  <c r="F9" i="3"/>
  <c r="E9" i="3"/>
  <c r="D9" i="3"/>
  <c r="C9" i="3"/>
  <c r="H9" i="3" s="1"/>
  <c r="B9" i="3"/>
  <c r="G8" i="3"/>
  <c r="F8" i="3"/>
  <c r="E8" i="3"/>
  <c r="D8" i="3"/>
  <c r="C8" i="3"/>
  <c r="H8" i="3" s="1"/>
  <c r="B8" i="3"/>
  <c r="G7" i="3"/>
  <c r="F7" i="3"/>
  <c r="E7" i="3"/>
  <c r="D7" i="3"/>
  <c r="C7" i="3"/>
  <c r="H7" i="3" s="1"/>
  <c r="B7" i="3"/>
  <c r="G6" i="3"/>
  <c r="F6" i="3"/>
  <c r="E6" i="3"/>
  <c r="D6" i="3"/>
  <c r="C6" i="3"/>
  <c r="B6" i="3"/>
  <c r="G5" i="3"/>
  <c r="F5" i="3"/>
  <c r="E5" i="3"/>
  <c r="D5" i="3"/>
  <c r="C5" i="3"/>
  <c r="B5" i="3"/>
  <c r="F14" i="3" l="1"/>
  <c r="C14" i="3"/>
  <c r="H6" i="3"/>
  <c r="H5" i="3"/>
  <c r="H13" i="3"/>
  <c r="E14" i="3"/>
  <c r="H12" i="3"/>
  <c r="G14" i="3"/>
  <c r="H11" i="3"/>
  <c r="D14" i="3"/>
  <c r="H14" i="3" l="1"/>
</calcChain>
</file>

<file path=xl/sharedStrings.xml><?xml version="1.0" encoding="utf-8"?>
<sst xmlns="http://schemas.openxmlformats.org/spreadsheetml/2006/main" count="1997" uniqueCount="857">
  <si>
    <t>Rewards Microfrontend: HLRD and LLRD workbook</t>
  </si>
  <si>
    <t>Generated 2026-09-29 from docs/rewards/HLRD.md and docs/rewards/LLRD.md.</t>
  </si>
  <si>
    <t>How to use this workbook</t>
  </si>
  <si>
    <t>• Requirements Register: one row per requirement. Edit the yellow columns (Requirement, Status, Priority, Owner, Success measure, Notes). Status and Priority are dropdowns.</t>
  </si>
  <si>
    <t>• To add a requirement, add a row at the bottom of the register: give it an ID (e.g. LLR-4.19) and a Parent epic (e.g. HLR-9); the Traceability tab counts it automatically.</t>
  </si>
  <si>
    <t>• Traceability: live formulas per epic (how many requirements, how many built). Don't type over it.</t>
  </si>
  <si>
    <t>• HLRD / LLRD tabs: each section of the documents with its tables, for reading and light edits.</t>
  </si>
  <si>
    <t>• The markdown files remain the source of truth. After editing here, ask Claude to sync your changes back into the markdown (and Miro).</t>
  </si>
  <si>
    <t>Status values</t>
  </si>
  <si>
    <t>Built &amp; tested: implemented with automated tests</t>
  </si>
  <si>
    <t>Built (manual test): implemented, verified by hand in the browser</t>
  </si>
  <si>
    <t>Next: agreed and scheduled next (e.g. HLR-9 reward scope, migrations)</t>
  </si>
  <si>
    <t>Planned: post-MVP (e.g. AI photo suggestions)</t>
  </si>
  <si>
    <t>Out of scope: explicitly not being built</t>
  </si>
  <si>
    <t>Example register row</t>
  </si>
  <si>
    <t>LLR-4.19 | Functional (LLR) | HLR-9 | Reward cards show how many days are left to keep a streak reward alive | Next | Should | Mansi</t>
  </si>
  <si>
    <t>Requirements Register</t>
  </si>
  <si>
    <t>One row per requirement. Yellow columns are yours to edit; Status and Priority have dropdowns.</t>
  </si>
  <si>
    <t>ID</t>
  </si>
  <si>
    <t>Type</t>
  </si>
  <si>
    <t>Parent epic</t>
  </si>
  <si>
    <t>Requirement</t>
  </si>
  <si>
    <t>Status</t>
  </si>
  <si>
    <t>Priority</t>
  </si>
  <si>
    <t>Owner</t>
  </si>
  <si>
    <t>Success measure / acceptance</t>
  </si>
  <si>
    <t>Notes</t>
  </si>
  <si>
    <t>Source</t>
  </si>
  <si>
    <t>BR-1</t>
  </si>
  <si>
    <t>Business requirement</t>
  </si>
  <si>
    <t>Make recurring upkeep visible and motivating</t>
  </si>
  <si>
    <t>Should</t>
  </si>
  <si>
    <t>Mansi</t>
  </si>
  <si>
    <t>≥ 3 active streaks maintained for 2 weeks in personal use</t>
  </si>
  <si>
    <t>HLRD › 6. High-level requirements</t>
  </si>
  <si>
    <t>BR-2</t>
  </si>
  <si>
    <t>Reduce effort to decide what to do in an area</t>
  </si>
  <si>
    <t>Post-MVP: ≥ 50 % of AI suggestions marked Relevant</t>
  </si>
  <si>
    <t>BR-3</t>
  </si>
  <si>
    <t>Provide weekly insight into effort distribution</t>
  </si>
  <si>
    <t>Weekly review done from the dashboard in &lt; 2 min</t>
  </si>
  <si>
    <t>BR-4</t>
  </si>
  <si>
    <t>Demonstrate MFE, BFF, integration and data-app principles (capstone)</t>
  </si>
  <si>
    <t>3-minute demo script runs end to end</t>
  </si>
  <si>
    <t>BR-5</t>
  </si>
  <si>
    <t>Be ready for an Android client without backend rewrite</t>
  </si>
  <si>
    <t>All user actions available via documented API (OpenAPI)</t>
  </si>
  <si>
    <t>HLR-1</t>
  </si>
  <si>
    <t>Epic (HLR)</t>
  </si>
  <si>
    <t>Tiles &amp; areas: Browse 3 tiles; seeded, editable areas</t>
  </si>
  <si>
    <t>Built &amp; tested</t>
  </si>
  <si>
    <t>Must</t>
  </si>
  <si>
    <t>HLR-2</t>
  </si>
  <si>
    <t>Task management: Create, prioritise, filter, change status/frequency/relevance</t>
  </si>
  <si>
    <t>HLR-3</t>
  </si>
  <si>
    <t>Completion &amp; streaks: Log completions with note/backfill; activity log; current/best streak</t>
  </si>
  <si>
    <t>HLR-4</t>
  </si>
  <si>
    <t>Rewards: Create, tag, progress, auto-unlock, claim</t>
  </si>
  <si>
    <t>HLR-5</t>
  </si>
  <si>
    <t>Insights dashboard: Aggregates, filters, cached reads, claim from dashboard</t>
  </si>
  <si>
    <t>HLR-6</t>
  </si>
  <si>
    <t>AI task suggestions: Photos → suggestions → decisions → tasks; non-blocking</t>
  </si>
  <si>
    <t>Planned</t>
  </si>
  <si>
    <t>HLR-7</t>
  </si>
  <si>
    <t>Module composition: Independently delivered MFE with host fallback</t>
  </si>
  <si>
    <t>HLR-8</t>
  </si>
  <si>
    <t>API (BFF): Versionable, documented, client-shaped API with demo auth</t>
  </si>
  <si>
    <t>HLR-9</t>
  </si>
  <si>
    <t>Reward scope and matching: Rewards live in the same tiles and areas as tasks; tasks are matched to rewards inside that scope (selected tasks, or all tasks in scope); existing rewards migrated without data loss</t>
  </si>
  <si>
    <t>Next</t>
  </si>
  <si>
    <t>HNFR-1</t>
  </si>
  <si>
    <t>Non-functional (high level)</t>
  </si>
  <si>
    <t>Cross-cutting</t>
  </si>
  <si>
    <t>Usability: Mobile-first; every primary action reachable in ≤ 3 taps from the area screen</t>
  </si>
  <si>
    <t>Built (manual test)</t>
  </si>
  <si>
    <t>HNFR-2</t>
  </si>
  <si>
    <t>Resilience: No single dependency failure (remote, BFF, AI) blanks the host page</t>
  </si>
  <si>
    <t>HNFR-3</t>
  </si>
  <si>
    <t>Performance: Rewards screen interactive ≤ 2 s on local/broadband; dashboard cached reads</t>
  </si>
  <si>
    <t>HNFR-4</t>
  </si>
  <si>
    <t>Security: Secrets server-side only; CORS allow-list; private photo storage</t>
  </si>
  <si>
    <t>HNFR-5</t>
  </si>
  <si>
    <t>Accessibility: WCAG 2.2 AA intent: labels, focus, live regions, contrast, reduced motion</t>
  </si>
  <si>
    <t>HNFR-6</t>
  </si>
  <si>
    <t>Maintainability: Typed contracts; pure, unit-tested business rules; ≥ 1 test per business rule</t>
  </si>
  <si>
    <t>HNFR-7</t>
  </si>
  <si>
    <t>Portability: HTTP/JSON only between tiers; storage swappable (SQLite → Postgres)</t>
  </si>
  <si>
    <t>LLR-1.1</t>
  </si>
  <si>
    <t>Functional (LLR)</t>
  </si>
  <si>
    <t>On first start the system seeds tiles and areas per Q2. Seeding never runs again once any tile exists (user edits are preserved)</t>
  </si>
  <si>
    <t>LLRD › 3. Detailed functional requirements</t>
  </si>
  <si>
    <t>LLR-1.2</t>
  </si>
  <si>
    <t>The tiles screen shows each tile's icon, name, area count and active task count</t>
  </si>
  <si>
    <t>LLR-1.3</t>
  </si>
  <si>
    <t>The user can add an area to a tile. The name is 1–80 characters, trimmed, and unique within the tile ignoring case</t>
  </si>
  <si>
    <t>LLR-1.4</t>
  </si>
  <si>
    <t>The user can rename an area under the same rules as LLR-1.3</t>
  </si>
  <si>
    <t>LLR-1.5</t>
  </si>
  <si>
    <t>The user can delete an area after confirmation. Its tasks, completions, photos and suggestions are removed with it</t>
  </si>
  <si>
    <t>LLR-1.6</t>
  </si>
  <si>
    <t>The confirmation text states how many active tasks will be deleted</t>
  </si>
  <si>
    <t>LLR-2.1</t>
  </si>
  <si>
    <t>Create a task with title (1–200 characters, required), notes (≤ 2000), priority (high/medium/low, default medium) and frequency (daily/weekly/one_off, default weekly). Source = manual; status = active; relevance = relevant</t>
  </si>
  <si>
    <t>LLR-2.2</t>
  </si>
  <si>
    <t>After creating a task, the form keeps the chosen priority and frequency for the next entry and clears the title and notes</t>
  </si>
  <si>
    <t>LLR-2.3</t>
  </si>
  <si>
    <t>An area's task list is sorted by priority (high → low), then by creation time</t>
  </si>
  <si>
    <t>LLR-2.4</t>
  </si>
  <si>
    <t>Filter by priority, status and relevance, singly or combined. The default view is status = active</t>
  </si>
  <si>
    <t>LLR-2.5</t>
  </si>
  <si>
    <t>Reprioritise from the list (inline select) or from task detail</t>
  </si>
  <si>
    <t>LLR-2.6</t>
  </si>
  <si>
    <t>Change frequency, status (active/done/archived) and relevance from task detail</t>
  </si>
  <si>
    <t>LLR-2.7</t>
  </si>
  <si>
    <t>An empty list says "No tasks yet" with the default filter and "No tasks match these filters" otherwise</t>
  </si>
  <si>
    <t>LLR-2.8</t>
  </si>
  <si>
    <t>Null values in updates are rejected (422); unknown enum values are rejected (422)</t>
  </si>
  <si>
    <t>LLR-2.9</t>
  </si>
  <si>
    <t>A cross-area list of active tasks, grouped by area, is available for the reward task picker</t>
  </si>
  <si>
    <t>LLR-3.1</t>
  </si>
  <si>
    <t>Complete an active task, optionally with a note (≤ 1000) and a time (completedAt). If no time is given, the time is now</t>
  </si>
  <si>
    <t>LLR-3.2</t>
  </si>
  <si>
    <t>The UI offers *Now*, *Yesterday* and *2 days ago* (same time of day)</t>
  </si>
  <si>
    <t>LLR-3.3</t>
  </si>
  <si>
    <t>A completion more than 1 minute in the future is rejected (422)</t>
  </si>
  <si>
    <t>LLR-3.4</t>
  </si>
  <si>
    <t>Completing a one-off task sets it to done. Further completions are rejected (409)</t>
  </si>
  <si>
    <t>LLR-3.5</t>
  </si>
  <si>
    <t>Completing a done or archived task is rejected with a message naming its status (409)</t>
  </si>
  <si>
    <t>LLR-3.6</t>
  </si>
  <si>
    <t>The activity log lists completions newest first, with local date/time and note</t>
  </si>
  <si>
    <t>LLR-3.7</t>
  </si>
  <si>
    <t>Each task shows completion count, current streak, best streak and last completion time</t>
  </si>
  <si>
    <t>LLR-3.8</t>
  </si>
  <si>
    <t>The area list offers a one-tap ✓ complete (now) for active tasks</t>
  </si>
  <si>
    <t>LLR-4.1</t>
  </si>
  <si>
    <t>Create a reward: title (1–200, required), description (≤ 2000), image URL (≤ 500, optional), rule type (completions or streak), threshold N (1–365), tagged tasks (optional)</t>
  </si>
  <si>
    <t>LLR-4.2</t>
  </si>
  <si>
    <t>Tag or untag tasks as a full replacement of the set. Unknown task ids are rejected (422)</t>
  </si>
  <si>
    <t>LLR-4.3</t>
  </si>
  <si>
    <t>Tag a task to a locked reward from the task detail screen</t>
  </si>
  <si>
    <t>LLR-4.4</t>
  </si>
  <si>
    <t>Show each reward's rule text, progress (current / target, %), status and tagged tasks</t>
  </si>
  <si>
    <t>LLR-4.5</t>
  </si>
  <si>
    <t>Filter the rewards list by status</t>
  </si>
  <si>
    <t>LLR-4.6</t>
  </si>
  <si>
    <t>Claim is only possible when the status is unlocked. Claiming a locked reward is rejected (409). Claiming an already claimed reward changes nothing</t>
  </si>
  <si>
    <t>LLR-4.7</t>
  </si>
  <si>
    <t>When a completion unlocks a reward, the completion response includes it and the UI shows a celebration toast</t>
  </si>
  <si>
    <t>LLR-4.8</t>
  </si>
  <si>
    <t>Editing a reward's tasks is only offered while it's locked</t>
  </si>
  <si>
    <t>LLR-4.9</t>
  </si>
  <si>
    <t>Every reward has a scope from the same taxonomy as tasks: a tile (required: Career/Office/Work, Household or Fun) and optionally one area of that tile (e.g. Household › Kitchen). Creating a reward without a tile is rejected (422); an area from another tile is rejected (422)</t>
  </si>
  <si>
    <t>LLR-4.10</t>
  </si>
  <si>
    <t>Every reward has a match mode: *Selected tasks* (default; the user tags specific tasks) or *All tasks in scope* (every non-archived task in the scope counts automatically, including tasks created later)</t>
  </si>
  <si>
    <t>LLR-4.11</t>
  </si>
  <si>
    <t>In *Selected tasks* mode, only tasks inside the reward's scope can be tagged. Tagging a task outside it is rejected (422) with a message naming the task and the scope</t>
  </si>
  <si>
    <t>LLR-4.12</t>
  </si>
  <si>
    <t>The reward form picks tile, then area (optional, "Whole tile" default), then match mode. The task picker lists only tasks in that scope, grouped by area</t>
  </si>
  <si>
    <t>LLR-4.13</t>
  </si>
  <si>
    <t>Each reward card shows its scope as a breadcrumb (e.g. "Household › Kitchen" or "Fun") and its match mode. The rewards list can be filtered by tile and by area, in addition to status</t>
  </si>
  <si>
    <t>LLR-4.14</t>
  </si>
  <si>
    <t>The area screen shows "Rewards you can earn here": locked or unlocked rewards whose scope is this area or this area's whole tile, with progress</t>
  </si>
  <si>
    <t>LLR-4.15</t>
  </si>
  <si>
    <t>On task detail, "Tag to a reward" offers only locked *Selected tasks* rewards whose scope contains the task. Rewards that match the task automatically (*All tasks in scope*) are listed with the label "Counts automatically"</t>
  </si>
  <si>
    <t>LLR-4.16</t>
  </si>
  <si>
    <t>Scope and match mode can be changed only while the reward is locked. Narrowing the scope removes tags that fall outside it, after the user confirms; the confirmation lists the tasks that will be untagged</t>
  </si>
  <si>
    <t>LLR-4.17</t>
  </si>
  <si>
    <t>Deleting an area doesn't delete rewards scoped to it: they widen to the area's tile (area cleared) and keep their status, rule and remaining tags. Renaming an area changes nothing</t>
  </si>
  <si>
    <t>LLR-4.18</t>
  </si>
  <si>
    <t>Existing rewards are migrated without data loss (schema migration with automatic pre-upgrade backup): if all tagged tasks share one area, scope = that area; else if they share one tile, scope = that tile; otherwise (no tags, or tags across tiles) the reward keeps its tags and is marked *Needs a tile* until the user picks one. No reward, tag, completion or status is deleted</t>
  </si>
  <si>
    <t>LLR-5.1</t>
  </si>
  <si>
    <t>Reads only GET /dashboard/summary; never the database</t>
  </si>
  <si>
    <t>LLR-5.2</t>
  </si>
  <si>
    <t>KPIs: completions (window), active tasks, active streaks, unlocked + claimed rewards, AI acceptance rate (— when undefined)</t>
  </si>
  <si>
    <t>LLR-5.3</t>
  </si>
  <si>
    <t>Charts: completions by tile, by area (filterable by tile) and per day (empty days shown as gaps). Hover tooltips on every mark</t>
  </si>
  <si>
    <t>LLR-5.4</t>
  </si>
  <si>
    <t>Tables: active streaks (filterable by tile); reward progress with a progress bar</t>
  </si>
  <si>
    <t>LLR-5.5</t>
  </si>
  <si>
    <t>Filters: window (7/30/90 days/all time) and tile. They survive reruns (session_state)</t>
  </si>
  <si>
    <t>LLR-5.6</t>
  </si>
  <si>
    <t>Responses are cached 30 s per window. *Refresh now* clears the cache</t>
  </si>
  <si>
    <t>LLR-5.7</t>
  </si>
  <si>
    <t>Unlocked rewards can be claimed from the dashboard. After claiming, the cache is cleared and the page shows fresh data</t>
  </si>
  <si>
    <t>LLR-5.8</t>
  </si>
  <si>
    <t>If the BFF is unreachable, show the error and *Try again* (no stack traces)</t>
  </si>
  <si>
    <t>LLR-5.9</t>
  </si>
  <si>
    <t>Streaks and rewards ignore the window; completion aggregates respect it</t>
  </si>
  <si>
    <t>LLR-5.10</t>
  </si>
  <si>
    <t>Summary payload is flat snake_case records; React endpoints are camelCase (per-client shaping)</t>
  </si>
  <si>
    <t>LLR-5.11</t>
  </si>
  <si>
    <t>Reward progress rows include the reward's tile and area; the dashboard's tile filter applies to rewards as well as completions and streaks</t>
  </si>
  <si>
    <t>LLR-6.1</t>
  </si>
  <si>
    <t>Attach 1–5 photos per run to an area (JPEG/PNG/WebP, ≤ 5 MB each; type checked by content, not extension)</t>
  </si>
  <si>
    <t>LLR-6.2</t>
  </si>
  <si>
    <t>Photos are stored privately with random names and are never publicly addressable</t>
  </si>
  <si>
    <t>LLR-6.3</t>
  </si>
  <si>
    <t>Starting a suggestion run returns immediately (202) with a run id; the UI shows a loading state</t>
  </si>
  <si>
    <t>LLR-6.4</t>
  </si>
  <si>
    <t>While a run is in progress, the manual *Add a task* form stays fully usable</t>
  </si>
  <si>
    <t>LLR-6.5</t>
  </si>
  <si>
    <t>Each suggestion has a title (≤ 200), why (≤ 500), priority and frequency, validated against a strict schema</t>
  </si>
  <si>
    <t>LLR-6.6</t>
  </si>
  <si>
    <t>The user marks each suggestion Relevant / Not relevant / Ignore. Relevant creates a task with source = ai. A decision is final (409 on re-decide)</t>
  </si>
  <si>
    <t>LLR-6.7</t>
  </si>
  <si>
    <t>On timeout (30 s), invalid output or missing API key: retry once where sensible, then show "AI suggestions unavailable, add tasks manually". The page never breaks</t>
  </si>
  <si>
    <t>LLR-6.8</t>
  </si>
  <si>
    <t>The API key exists only in BFF environment variables</t>
  </si>
  <si>
    <t>LLR-6.9</t>
  </si>
  <si>
    <t>Decisions feed the dashboard acceptance rate (relevant ÷ decided)</t>
  </si>
  <si>
    <t>LLR-7.1</t>
  </si>
  <si>
    <t>The MFE is built separately and exposes ./RewardsApp via remoteEntry.js</t>
  </si>
  <si>
    <t>LLR-7.2</t>
  </si>
  <si>
    <t>The host mounts it on #/rewards and every #/rewards/*. The nav item stays active on sub-routes</t>
  </si>
  <si>
    <t>LLR-7.3</t>
  </si>
  <si>
    <t>Host and remote share one React instance; the remote bundles no React</t>
  </si>
  <si>
    <t>LLR-7.4</t>
  </si>
  <si>
    <t>If the remote fails to load, the host shows "Rewards is unavailable right now" and a reload button. Other pages are unaffected</t>
  </si>
  <si>
    <t>LLR-7.5</t>
  </si>
  <si>
    <t>MFE styles are scoped (.rw-app) and don't alter host styles</t>
  </si>
  <si>
    <t>LLR-7.6</t>
  </si>
  <si>
    <t>The remote URL is configurable per environment (VITE_REWARDS_REMOTE_URL)</t>
  </si>
  <si>
    <t>LLR-7.7</t>
  </si>
  <si>
    <t>The MFE runs standalone for development (npm run dev)</t>
  </si>
  <si>
    <t>LLR-7.8</t>
  </si>
  <si>
    <t>Every screen has loading, error (with retry) and empty states</t>
  </si>
  <si>
    <t>LLR-8.1</t>
  </si>
  <si>
    <t>Every endpoint except /health needs Authorization: Bearer &lt;demo token&gt;; otherwise 401</t>
  </si>
  <si>
    <t>LLR-8.2</t>
  </si>
  <si>
    <t>CORS allows only the configured origins</t>
  </si>
  <si>
    <t>LLR-8.3</t>
  </si>
  <si>
    <t>OpenAPI documentation is served at /docs</t>
  </si>
  <si>
    <t>LLR-8.4</t>
  </si>
  <si>
    <t>Errors use {detail} with status codes 401, 404, 409 and 422 as catalogued in LLD §3.3</t>
  </si>
  <si>
    <t>LLR-8.5</t>
  </si>
  <si>
    <t>Request bodies accept camelCase or snake_case. React responses are camelCase; dashboard responses are snake_case</t>
  </si>
  <si>
    <t>LLR-8.6</t>
  </si>
  <si>
    <t>Timestamps are ISO-8601 UTC in responses</t>
  </si>
  <si>
    <t>LLR-8.7</t>
  </si>
  <si>
    <t>Reward create/update accept categoryId (required on create), areaId (optional) and match (selected | all_in_scope); reward responses include scope {categoryId, categoryName, areaId, areaName}, match and needsTile</t>
  </si>
  <si>
    <t>LLR-8.8</t>
  </si>
  <si>
    <t>GET /rewards accepts categoryId and areaId filters. GET /areas/{id}/rewards returns the rewards that match that area (LLR-4.14). Task detail's rewards lists every reward matching the task, with how it matches (tagged or scope)</t>
  </si>
  <si>
    <t>LLR-8.9</t>
  </si>
  <si>
    <t>Schema changes are applied by versioned migrations on startup, never by dropping and recreating tables; a backup of the database file is written before each upgrade (Q14)</t>
  </si>
  <si>
    <t>BR-R1</t>
  </si>
  <si>
    <t>Business rule</t>
  </si>
  <si>
    <t>A period is a local calendar day (daily) or a Monday–Sunday week (weekly) in BFF_TIMEZONE</t>
  </si>
  <si>
    <t>BR-R2</t>
  </si>
  <si>
    <t>Several completions in one period count once towards the streak (they all count towards completion count)</t>
  </si>
  <si>
    <t>BR-R3</t>
  </si>
  <si>
    <t>Best streak = longest run of consecutive periods with ≥ 1 completion</t>
  </si>
  <si>
    <t>BR-R4</t>
  </si>
  <si>
    <t>Current streak = the run ending at the latest completed period, if that period is the current or the previous one; otherwise 0</t>
  </si>
  <si>
    <t>BR-R5</t>
  </si>
  <si>
    <t>One-off tasks: streak = 1 once completed, else 0 (not shown as an active streak)</t>
  </si>
  <si>
    <t>BR-R6</t>
  </si>
  <si>
    <t>Streaks are derived from the activity log on every read (never stored)</t>
  </si>
  <si>
    <t>BR-R7</t>
  </si>
  <si>
    <t>*Completions* rule progress = total completions of all tagged tasks (all-time)</t>
  </si>
  <si>
    <t>BR-R8</t>
  </si>
  <si>
    <t>*Streak* rule progress = the highest current streak among tagged tasks</t>
  </si>
  <si>
    <t>BR-R9</t>
  </si>
  <si>
    <t>The unlock check runs on task completion, reward creation, reward update and tag change</t>
  </si>
  <si>
    <t>BR-R10</t>
  </si>
  <si>
    <t>Status flow locked → unlocked → claimed only; there's no path back</t>
  </si>
  <si>
    <t>BR-R11</t>
  </si>
  <si>
    <t>Unlocked and claimed rewards always show 100 %</t>
  </si>
  <si>
    <t>BR-R12</t>
  </si>
  <si>
    <t>Scope containment. A task is in a reward's scope when the task's area belongs to the reward's tile and, if the reward has an area, the task's area *is* that area</t>
  </si>
  <si>
    <t>BR-R13</t>
  </si>
  <si>
    <t>Matched tasks. *Selected tasks*: the tagged tasks (all in scope). *All tasks in scope*: every task in scope whose status isn't archived. BR-R7 and BR-R8 compute progress over the matched tasks</t>
  </si>
  <si>
    <t>BR-R14</t>
  </si>
  <si>
    <t>In *All tasks in scope* mode, tags are ignored for progress (they're kept, so switching back to *Selected tasks* restores them)</t>
  </si>
  <si>
    <t>BR-R15</t>
  </si>
  <si>
    <t>The unlock check (BR-R9) on completion evaluates every locked reward that matches the completed task, whether tagged or by scope</t>
  </si>
  <si>
    <t>BR-R16</t>
  </si>
  <si>
    <t>A reward marked *Needs a tile* (LLR-4.18) still shows progress from its tags, but can't be edited until a tile is chosen. It never unlocks from tasks outside the tile the user then picks</t>
  </si>
  <si>
    <t>NFR-D1</t>
  </si>
  <si>
    <t>Non-functional (detailed)</t>
  </si>
  <si>
    <t>Remote exposed chunk ≤ 50 KB gzip (now ~11 KB)</t>
  </si>
  <si>
    <t>LLRD › 6. Detailed non-functional requirements</t>
  </si>
  <si>
    <t>NFR-D2</t>
  </si>
  <si>
    <t>Remote load after navigating to #/rewards ≤ 500 ms locally (measured ~36 ms client-side nav, ~275 ms cold)</t>
  </si>
  <si>
    <t>NFR-D3</t>
  </si>
  <si>
    <t>Dashboard issues ≤ 1 BFF read per window per 30 s</t>
  </si>
  <si>
    <t>NFR-D4</t>
  </si>
  <si>
    <t>No horizontal scroll at 375 px width</t>
  </si>
  <si>
    <t>NFR-D5</t>
  </si>
  <si>
    <t>Stats for N tasks use one activity query (no N+1)</t>
  </si>
  <si>
    <t>NFR-D6</t>
  </si>
  <si>
    <t>Every business rule BR-R1…R16 has ≥ 1 automated test</t>
  </si>
  <si>
    <t>NFR-D7</t>
  </si>
  <si>
    <t>Naive datetimes never reach storage</t>
  </si>
  <si>
    <t>NFR-D8</t>
  </si>
  <si>
    <t>No schema change may delete or rewrite existing rows except as specified (LLR-4.18); every migration has an upgrade test run against a copy of a pre-migration database</t>
  </si>
  <si>
    <t>Traceability by epic</t>
  </si>
  <si>
    <t>Counts are live formulas over the Requirements Register; change a status there and this updates.</t>
  </si>
  <si>
    <t>Epic</t>
  </si>
  <si>
    <t>Title</t>
  </si>
  <si>
    <t>LLRs + rules</t>
  </si>
  <si>
    <t>Built (manual)</t>
  </si>
  <si>
    <t>% built</t>
  </si>
  <si>
    <t>Total</t>
  </si>
  <si>
    <t>1. Executive summary</t>
  </si>
  <si>
    <t>Home, career and fun tasks are tracked informally today. Rewards for keeping up are ad hoc, and there's no visibility of consistency. An earlier in-site "Reward Goals" feature existed, but it was goal-centric, tightly coupled to the main site and its Neo4j backend, and not reusable by other clients.</t>
  </si>
  <si>
    <t>This capstone replaces it with a Rewards microfrontend:</t>
  </si>
  <si>
    <t>• a React module loaded into the site at runtime;</t>
  </si>
  <si>
    <t>• a Backend-for-Frontend that serves the web UI, an analytics dashboard and a future Android app;</t>
  </si>
  <si>
    <t>• integration services (AI photo → task suggestions, reminders) behind resilient adapters.</t>
  </si>
  <si>
    <t>2. Discovery</t>
  </si>
  <si>
    <t>2.1 Problem statement</t>
  </si>
  <si>
    <t>*As a busy working parent, I want to turn the upkeep of each part of my home, career and leisure into small recurring tasks, see my consistency, and reward myself when I keep it up, without the tool becoming another chore.*</t>
  </si>
  <si>
    <t>2.2 Personas</t>
  </si>
  <si>
    <t>Persona</t>
  </si>
  <si>
    <t>Context</t>
  </si>
  <si>
    <t>Needs</t>
  </si>
  <si>
    <t>Frustrations</t>
  </si>
  <si>
    <t>Mansi, primary user</t>
  </si>
  <si>
    <t>Working parent; manages household areas (kitchen, laundry, kids' toys), career learning, hobbies</t>
  </si>
  <si>
    <t>Quick capture on a phone, see what's due, feel progress, self-set treats</t>
  </si>
  <si>
    <t>Lists get stale; no sense of streaks; motivation fades mid-week</t>
  </si>
  <si>
    <t>Mansi, reviewer (weekly)</t>
  </si>
  <si>
    <t>Sunday reflection</t>
  </si>
  <si>
    <t>Where did effort go? Which streaks are alive? Which rewards are close?</t>
  </si>
  <si>
    <t>No aggregate view; can't see neglected areas</t>
  </si>
  <si>
    <t>Capstone evaluator</t>
  </si>
  <si>
    <t>Assesses architecture</t>
  </si>
  <si>
    <t>Clear demonstration of MFE, BFF, integration and data-app principles</t>
  </si>
  <si>
    <t>Monoliths that "claim" microfrontends</t>
  </si>
  <si>
    <t>Future: family member (out of scope)</t>
  </si>
  <si>
    <t>Shares household areas</t>
  </si>
  <si>
    <t>Assigned tasks, own rewards</t>
  </si>
  <si>
    <t>—</t>
  </si>
  <si>
    <t>2.3 Discovery findings</t>
  </si>
  <si>
    <t>#</t>
  </si>
  <si>
    <t>Finding</t>
  </si>
  <si>
    <t>Implication</t>
  </si>
  <si>
    <t>D1</t>
  </si>
  <si>
    <t>Codebase audit (main)</t>
  </si>
  <si>
    <t>An existing in-site Rewards feature: goals with target days, daily logs, milestones, ₹-valued rewards, 6 fixed categories</t>
  </si>
  <si>
    <t>Validates the need; its goal model doesn't fit recurring upkeep of physical areas</t>
  </si>
  <si>
    <t>D2</t>
  </si>
  <si>
    <t>Codebase audit</t>
  </si>
  <si>
    <t>Old feature bundled in the host, dark inline styles, Express + Neo4j API shared with the Weekend Picks backend</t>
  </si>
  <si>
    <t>Can't deploy, scale or fail independently; heavy infrastructure for simple relational data</t>
  </si>
  <si>
    <t>D3</t>
  </si>
  <si>
    <t>Passcode gate built but disabled; no auth in practice</t>
  </si>
  <si>
    <t>Demo-level token is acceptable for MVP; real auth later</t>
  </si>
  <si>
    <t>D4</t>
  </si>
  <si>
    <t>Branch audit</t>
  </si>
  <si>
    <t>An abandoned Next.js "reward-system" scaffold (React 18) that couldn't be federated into the Vite/React 19 host</t>
  </si>
  <si>
    <t>Choose Vite-native federation; keep React versions aligned</t>
  </si>
  <si>
    <t>D5</t>
  </si>
  <si>
    <t>User interview (self)</t>
  </si>
  <si>
    <t>Upkeep is area-based (Kitchen, Wardrobe, Shiragi Toys) not goal-based; frequencies differ (daily vs weekly vs one-off)</t>
  </si>
  <si>
    <t>Tiles → areas → tasks model with per-task frequency</t>
  </si>
  <si>
    <t>D6</t>
  </si>
  <si>
    <t>User interview</t>
  </si>
  <si>
    <t>Deciding *what* to do in an area is the hard part</t>
  </si>
  <si>
    <t>Photo of the area → AI suggests tasks (post-MVP)</t>
  </si>
  <si>
    <t>D7</t>
  </si>
  <si>
    <t>Tasks are often done and logged later</t>
  </si>
  <si>
    <t>Backfill completions ("yesterday")</t>
  </si>
  <si>
    <t>D8</t>
  </si>
  <si>
    <t>Wants weekly insight, not just a to-do list</t>
  </si>
  <si>
    <t>Separate analytics client (Streamlit)</t>
  </si>
  <si>
    <t>D9</t>
  </si>
  <si>
    <t>Roadmap</t>
  </si>
  <si>
    <t>An Android app is planned</t>
  </si>
  <si>
    <t>API-first BFF; mobile-first UI</t>
  </si>
  <si>
    <t>D10</t>
  </si>
  <si>
    <t>PO review of MVP (2026-09-28)</t>
  </si>
  <si>
    <t>Rewards float free of the tile/area structure: a reward can be tagged to any task anywhere, so it isn't clear which part of life a reward belongs to</t>
  </si>
  <si>
    <t>Rewards use the same tiles and areas as tasks, and are matched to tasks inside that scope (HLR-9)</t>
  </si>
  <si>
    <t>2.4 Assumptions</t>
  </si>
  <si>
    <t>• A1. Single user for the MVP; data is personal and low volume (&lt; 1k tasks, &lt; 50k completions).</t>
  </si>
  <si>
    <t>• A2. The user's calendar is one timezone (Asia/Kolkata by default).</t>
  </si>
  <si>
    <t>• A3. Rewards are self-fulfilled. There's no purchasing or payment integration.</t>
  </si>
  <si>
    <t>• A4. The host site remains Vite + React 19 with hash routing.</t>
  </si>
  <si>
    <t>2.5 Constraints</t>
  </si>
  <si>
    <t>• C1. Existing Vercel deployment of the host must keep building (npm run build → dist).</t>
  </si>
  <si>
    <t>• C2. Solo developer, capstone timeline; prefer managed or zero-ops components.</t>
  </si>
  <si>
    <t>• C3. AI API keys must never reach the browser.</t>
  </si>
  <si>
    <t>• C4. Out of scope: Android build, real auth, multi-user, other microfrontends, WhatsApp/Apify/Snowflake integrations.</t>
  </si>
  <si>
    <t>3. As-Is</t>
  </si>
  <si>
    <t>3.1 As-Is process</t>
  </si>
  <si>
    <t>Diagram: see the markdown document or the Miro board.</t>
  </si>
  <si>
    <t>3.2 As-Is system</t>
  </si>
  <si>
    <t>3.3 As-Is capabilities and pain points</t>
  </si>
  <si>
    <t>Area</t>
  </si>
  <si>
    <t>As-Is</t>
  </si>
  <si>
    <t>Pain point</t>
  </si>
  <si>
    <t>Structure</t>
  </si>
  <si>
    <t>Goals in 6 fixed categories (Food &amp; Kitchen, Health, House, Learning, Creative, Finance)</t>
  </si>
  <si>
    <t>No notion of physical areas; can't reflect "Kitchen Utility Area" vs "Kitchen"</t>
  </si>
  <si>
    <t>Frequency</t>
  </si>
  <si>
    <t>Daily log per goal; target days</t>
  </si>
  <si>
    <t>Weekly and one-off upkeep doesn't fit</t>
  </si>
  <si>
    <t>Logging</t>
  </si>
  <si>
    <t>"Did it today" + duration + note</t>
  </si>
  <si>
    <t>No backfill; missed logs break streaks unfairly</t>
  </si>
  <si>
    <t>Rewards</t>
  </si>
  <si>
    <t>Linked to a goal or milestone day; ₹ value</t>
  </si>
  <si>
    <t>Can't share one reward across several tasks; no completion-count rule</t>
  </si>
  <si>
    <t>Insight</t>
  </si>
  <si>
    <t>Summary cards (active goals, to log today, earned)</t>
  </si>
  <si>
    <t>No per-area or time-series view</t>
  </si>
  <si>
    <t>Architecture</t>
  </si>
  <si>
    <t>Bundled into the host; Neo4j via shared Express API</t>
  </si>
  <si>
    <t>No independent deploy/failure; not reusable by Android; heavy DB for simple data</t>
  </si>
  <si>
    <t>Resilience</t>
  </si>
  <si>
    <t>Single request path; errors surface raw</t>
  </si>
  <si>
    <t>Rewards failure affects the page</t>
  </si>
  <si>
    <t>AI</t>
  </si>
  <si>
    <t>None</t>
  </si>
  <si>
    <t>Deciding what to do is manual</t>
  </si>
  <si>
    <t>4. To-Be</t>
  </si>
  <si>
    <t>4.1 To-Be process</t>
  </si>
  <si>
    <t>4.2 To-Be system</t>
  </si>
  <si>
    <t>4.3 Gap analysis (As-Is → To-Be)</t>
  </si>
  <si>
    <t>Capability</t>
  </si>
  <si>
    <t>To-Be</t>
  </si>
  <si>
    <t>Change type</t>
  </si>
  <si>
    <t>G1</t>
  </si>
  <si>
    <t>Organising model</t>
  </si>
  <si>
    <t>Goals × 6 categories</t>
  </si>
  <si>
    <t>3 tiles × editable areas × tasks</t>
  </si>
  <si>
    <t>Replace</t>
  </si>
  <si>
    <t>G2</t>
  </si>
  <si>
    <t>Daily only</t>
  </si>
  <si>
    <t>Daily, weekly, one-off</t>
  </si>
  <si>
    <t>Extend</t>
  </si>
  <si>
    <t>G3</t>
  </si>
  <si>
    <t>Streaks</t>
  </si>
  <si>
    <t>Daily streak per goal</t>
  </si>
  <si>
    <t>Per-task streak in days or weeks; current + best; backfill-safe</t>
  </si>
  <si>
    <t>G4</t>
  </si>
  <si>
    <t>Reward rules</t>
  </si>
  <si>
    <t>Goal/milestone-bound</t>
  </si>
  <si>
    <t>Tag to many tasks; *N completions* or *streak of N*; auto-unlock; claim</t>
  </si>
  <si>
    <t>G4b</t>
  </si>
  <si>
    <t>Reward taxonomy</t>
  </si>
  <si>
    <t>6 goal categories, separate from anything else</t>
  </si>
  <si>
    <t>Rewards share the task taxonomy: a tile (required) and optionally one area; tasks and rewards are matched within that scope</t>
  </si>
  <si>
    <t>New</t>
  </si>
  <si>
    <t>G5</t>
  </si>
  <si>
    <t>Prioritisation</t>
  </si>
  <si>
    <t>High/Med/Low; filter by priority, status, relevance</t>
  </si>
  <si>
    <t>G6</t>
  </si>
  <si>
    <t>AI assistance</t>
  </si>
  <si>
    <t>Photo → suggested tasks with human approval</t>
  </si>
  <si>
    <t>New (post-MVP)</t>
  </si>
  <si>
    <t>G7</t>
  </si>
  <si>
    <t>Insights</t>
  </si>
  <si>
    <t>3 summary cards</t>
  </si>
  <si>
    <t>Dashboard: by tile/area/day, streaks, reward progress, AI acceptance</t>
  </si>
  <si>
    <t>G8</t>
  </si>
  <si>
    <t>Delivery</t>
  </si>
  <si>
    <t>Bundled into host</t>
  </si>
  <si>
    <t>Independently built and deployed MFE; host fallback</t>
  </si>
  <si>
    <t>Re-architect</t>
  </si>
  <si>
    <t>G9</t>
  </si>
  <si>
    <t>Backend</t>
  </si>
  <si>
    <t>Express + Neo4j shared with other features</t>
  </si>
  <si>
    <t>Dedicated BFF, typed contracts, OpenAPI, relational store</t>
  </si>
  <si>
    <t>G10</t>
  </si>
  <si>
    <t>Clients</t>
  </si>
  <si>
    <t>Web only</t>
  </si>
  <si>
    <t>Web, analytics, Android-ready API</t>
  </si>
  <si>
    <t>4.4 Transition plan</t>
  </si>
  <si>
    <t>Step</t>
  </si>
  <si>
    <t>Description</t>
  </si>
  <si>
    <t>T1</t>
  </si>
  <si>
    <t>Build the BFF and seed tiles/areas</t>
  </si>
  <si>
    <t>✅</t>
  </si>
  <si>
    <t>T2</t>
  </si>
  <si>
    <t>Build the MFE; mount it on #/rewards; remove the old in-site rewards + /rewards Express routes</t>
  </si>
  <si>
    <t>✅ (branch)</t>
  </si>
  <si>
    <t>T3</t>
  </si>
  <si>
    <t>Build the Streamlit insights client</t>
  </si>
  <si>
    <t>T3a</t>
  </si>
  <si>
    <t>Schema migrations (Alembic) + export/import, so schema changes never cost existing data</t>
  </si>
  <si>
    <t>T3b</t>
  </si>
  <si>
    <t>Reward scope and matching (HLR-9), shipped as the first data-preserving migration</t>
  </si>
  <si>
    <t>⏳ next, after T3a</t>
  </si>
  <si>
    <t>T4</t>
  </si>
  <si>
    <t>Deploy the MFE + BFF; set the host's remote URL; merge to main</t>
  </si>
  <si>
    <t>⏳</t>
  </si>
  <si>
    <t>T5</t>
  </si>
  <si>
    <t>Integration services: vision → events/outbox → reminders</t>
  </si>
  <si>
    <t>T6</t>
  </si>
  <si>
    <t>Mobile BFF surface; Android client</t>
  </si>
  <si>
    <t>⏳ future</t>
  </si>
  <si>
    <t>No data migration from Neo4j is planned. The old feature held no production data worth carrying over (its auth gate was disabled and the new model differs). Confirm before T4.</t>
  </si>
  <si>
    <t>5. Scope</t>
  </si>
  <si>
    <t>In scope (MVP)</t>
  </si>
  <si>
    <t>Post-MVP (capstone extensions)</t>
  </si>
  <si>
    <t>Out of scope</t>
  </si>
  <si>
    <t>Tiles/areas CRUD, tasks, completions, streaks, rewards, claim; rewards scoped to the same tiles/areas and matched to tasks</t>
  </si>
  <si>
    <t>Photo → AI suggestions (vision adapter)</t>
  </si>
  <si>
    <t>Android app build</t>
  </si>
  <si>
    <t>React MFE + host integration</t>
  </si>
  <si>
    <t>Domain events + outbox; reminders (push/email)</t>
  </si>
  <si>
    <t>Real auth / multi-user</t>
  </si>
  <si>
    <t>FastAPI BFF with per-client shapes</t>
  </si>
  <si>
    <t>Calendar ICS feed; object storage; AI weekly coach</t>
  </si>
  <si>
    <t>Other microfrontends</t>
  </si>
  <si>
    <t>Streamlit insights</t>
  </si>
  <si>
    <t>Mobile BFF surface; OIDC</t>
  </si>
  <si>
    <t>WhatsApp, Apify, Snowflake</t>
  </si>
  <si>
    <t>6. High-level requirements</t>
  </si>
  <si>
    <t>6.1 Business requirements</t>
  </si>
  <si>
    <t>Success measure</t>
  </si>
  <si>
    <t>6.2 High-level functional requirements (epics)</t>
  </si>
  <si>
    <t>Summary</t>
  </si>
  <si>
    <t>Traces to (LLRD)</t>
  </si>
  <si>
    <t>MVP</t>
  </si>
  <si>
    <t>Tiles &amp; areas</t>
  </si>
  <si>
    <t>Browse 3 tiles; seeded, editable areas</t>
  </si>
  <si>
    <t>LLR-1.x</t>
  </si>
  <si>
    <t>Task management</t>
  </si>
  <si>
    <t>Create, prioritise, filter, change status/frequency/relevance</t>
  </si>
  <si>
    <t>LLR-2.x</t>
  </si>
  <si>
    <t>Completion &amp; streaks</t>
  </si>
  <si>
    <t>Log completions with note/backfill; activity log; current/best streak</t>
  </si>
  <si>
    <t>LLR-3.x</t>
  </si>
  <si>
    <t>Create, tag, progress, auto-unlock, claim</t>
  </si>
  <si>
    <t>LLR-4.1–4.8</t>
  </si>
  <si>
    <t>Reward scope and matching</t>
  </si>
  <si>
    <t>Rewards live in the same tiles and areas as tasks; tasks are matched to rewards inside that scope (selected tasks, or all tasks in scope); existing rewards migrated without data loss</t>
  </si>
  <si>
    <t>LLR-4.9–4.18</t>
  </si>
  <si>
    <t>⏳ next</t>
  </si>
  <si>
    <t>Insights dashboard</t>
  </si>
  <si>
    <t>Aggregates, filters, cached reads, claim from dashboard</t>
  </si>
  <si>
    <t>LLR-5.x</t>
  </si>
  <si>
    <t>AI task suggestions</t>
  </si>
  <si>
    <t>Photos → suggestions → decisions → tasks; non-blocking</t>
  </si>
  <si>
    <t>LLR-6.x</t>
  </si>
  <si>
    <t>Module composition</t>
  </si>
  <si>
    <t>Independently delivered MFE with host fallback</t>
  </si>
  <si>
    <t>LLR-7.x</t>
  </si>
  <si>
    <t>API (BFF)</t>
  </si>
  <si>
    <t>Versionable, documented, client-shaped API with demo auth</t>
  </si>
  <si>
    <t>LLR-8.x</t>
  </si>
  <si>
    <t>6.3 High-level non-functional requirements</t>
  </si>
  <si>
    <t>Category</t>
  </si>
  <si>
    <t>Usability</t>
  </si>
  <si>
    <t>Mobile-first; every primary action reachable in ≤ 3 taps from the area screen</t>
  </si>
  <si>
    <t>No single dependency failure (remote, BFF, AI) blanks the host page</t>
  </si>
  <si>
    <t>Performance</t>
  </si>
  <si>
    <t>Rewards screen interactive ≤ 2 s on local/broadband; dashboard cached reads</t>
  </si>
  <si>
    <t>Security</t>
  </si>
  <si>
    <t>Secrets server-side only; CORS allow-list; private photo storage</t>
  </si>
  <si>
    <t>Accessibility</t>
  </si>
  <si>
    <t>WCAG 2.2 AA intent: labels, focus, live regions, contrast, reduced motion</t>
  </si>
  <si>
    <t>Maintainability</t>
  </si>
  <si>
    <t>Typed contracts; pure, unit-tested business rules; ≥ 1 test per business rule</t>
  </si>
  <si>
    <t>Portability</t>
  </si>
  <si>
    <t>HTTP/JSON only between tiers; storage swappable (SQLite → Postgres)</t>
  </si>
  <si>
    <t>7. Stakeholders and RACI</t>
  </si>
  <si>
    <t>Activity</t>
  </si>
  <si>
    <t>Mansi (PO/dev)</t>
  </si>
  <si>
    <t>Future Android dev</t>
  </si>
  <si>
    <t>Requirements &amp; priorities</t>
  </si>
  <si>
    <t>A/R</t>
  </si>
  <si>
    <t>C</t>
  </si>
  <si>
    <t>I</t>
  </si>
  <si>
    <t>Architecture &amp; build</t>
  </si>
  <si>
    <t>C (API)</t>
  </si>
  <si>
    <t>Demo &amp; evaluation</t>
  </si>
  <si>
    <t>R</t>
  </si>
  <si>
    <t>A</t>
  </si>
  <si>
    <t>8. Dependencies</t>
  </si>
  <si>
    <t>Vercel (host + MFE hosting); a Python host for the BFF (post-MVP deploy); the Anthropic API (post-MVP vision); @originjs/vite-plugin-federation; Streamlit.</t>
  </si>
  <si>
    <t>9. Risks</t>
  </si>
  <si>
    <t>Risk</t>
  </si>
  <si>
    <t>Likelihood</t>
  </si>
  <si>
    <t>Impact</t>
  </si>
  <si>
    <t>Mitigation</t>
  </si>
  <si>
    <t>Remote not deployed when merged → #/rewards shows fallback</t>
  </si>
  <si>
    <t>M</t>
  </si>
  <si>
    <t>Deploy the MFE + BFF before merging to main (T4)</t>
  </si>
  <si>
    <t>AI suggestions low quality</t>
  </si>
  <si>
    <t>L</t>
  </si>
  <si>
    <t>Human approval per suggestion; acceptance-rate metric in the dashboard</t>
  </si>
  <si>
    <t>Scope creep into other modules</t>
  </si>
  <si>
    <t>Capstone limited to Rewards; roadmap items gated by priority</t>
  </si>
  <si>
    <t>React version drift host ↔ remote</t>
  </si>
  <si>
    <t>H</t>
  </si>
  <si>
    <t>Shared singleton; pinned versions; smoke check</t>
  </si>
  <si>
    <t>10. Acceptance (MVP)</t>
  </si>
  <si>
    <t>The MVP is accepted when the demo runs without manual workarounds:</t>
  </si>
  <si>
    <t>• Open #/rewards → Household → Kitchen.</t>
  </si>
  <si>
    <t>• Add a task.</t>
  </si>
  <si>
    <t>• Complete it (yesterday + today) → streak 2.</t>
  </si>
  <si>
    <t>• Tag a *3 completions* reward → complete again → unlock toast → claim.</t>
  </si>
  <si>
    <t>• The Streamlit dashboard reflects completions, streaks and the claim.</t>
  </si>
  <si>
    <t>• With the remote or BFF stopped, the site shows the documented fallbacks.</t>
  </si>
  <si>
    <t>• (HLR-9) Kitchen shows "Rewards you can earn here" for rewards scoped to Household or Household › Kitchen, and the Kitchen task can only be tagged to those.</t>
  </si>
  <si>
    <t>1. Detailed discovery</t>
  </si>
  <si>
    <t>1.1 Discovery questions and answers</t>
  </si>
  <si>
    <t>Question</t>
  </si>
  <si>
    <t>Answer / decision</t>
  </si>
  <si>
    <t>Q1</t>
  </si>
  <si>
    <t>Which tiles exist and are they editable?</t>
  </si>
  <si>
    <t>3 fixed tiles (Career/Office/Work, Household, Fun); areas are editable</t>
  </si>
  <si>
    <t>Brief</t>
  </si>
  <si>
    <t>Q2</t>
  </si>
  <si>
    <t>Household seed list?</t>
  </si>
  <si>
    <t>Kitchen, Kitchen Utility Area, Laundry, Master Bathroom, Guest Bathroom, Master Bedroom, Guest Room, Hall, Balcony, Books, Makeup, Wardrobe, Shiragi Toys (13). "Kitchen Utility" dropped as a duplicate</t>
  </si>
  <si>
    <t>PO decision, 2026-09-28</t>
  </si>
  <si>
    <t>Q3</t>
  </si>
  <si>
    <t>What counts as a streak for weekly tasks?</t>
  </si>
  <si>
    <t>Consecutive Monday–Sunday weeks with ≥ 1 completion</t>
  </si>
  <si>
    <t>Design decision</t>
  </si>
  <si>
    <t>Q4</t>
  </si>
  <si>
    <t>When does a streak break?</t>
  </si>
  <si>
    <t>Only after a whole period is missed (done yesterday but not yet today = still alive)</t>
  </si>
  <si>
    <t>Q5</t>
  </si>
  <si>
    <t>How can the demo show a streak going up in minutes?</t>
  </si>
  <si>
    <t>Backfill: log a completion for yesterday or the day before</t>
  </si>
  <si>
    <t>PO accepted</t>
  </si>
  <si>
    <t>Q6</t>
  </si>
  <si>
    <t>Do completions before a reward existed count?</t>
  </si>
  <si>
    <t>Yes, all completions of tagged tasks count</t>
  </si>
  <si>
    <t>Design decision (demo flow)</t>
  </si>
  <si>
    <t>Q7</t>
  </si>
  <si>
    <t>Can an unlocked reward re-lock if a streak breaks?</t>
  </si>
  <si>
    <t>No, unlock is permanent</t>
  </si>
  <si>
    <t>Q8</t>
  </si>
  <si>
    <t>What happens to the old in-site rewards?</t>
  </si>
  <si>
    <t>Replaced on #/rewards; old UI and Express/Neo4j routes removed</t>
  </si>
  <si>
    <t>PO decision</t>
  </si>
  <si>
    <t>Q9</t>
  </si>
  <si>
    <t>Timezone?</t>
  </si>
  <si>
    <t>User-local calendar, default Asia/Kolkata (configurable)</t>
  </si>
  <si>
    <t>Q10</t>
  </si>
  <si>
    <t>AI in MVP?</t>
  </si>
  <si>
    <t>No, post-MVP; the dashboard shows an empty state until then</t>
  </si>
  <si>
    <t>Q11</t>
  </si>
  <si>
    <t>Should rewards use the same categories as tasks?</t>
  </si>
  <si>
    <t>Yes. A reward belongs to a tile (required) and optionally one area of that tile, the same taxonomy as tasks. This is the reward's *scope*, and tasks are matched to rewards within it</t>
  </si>
  <si>
    <t>Q12</t>
  </si>
  <si>
    <t>How are tasks matched to a reward?</t>
  </si>
  <si>
    <t>Two modes. Selected tasks (default): tag specific tasks, all inside the scope. All tasks in scope: every non-archived task in the area (or tile) counts automatically, including tasks added later</t>
  </si>
  <si>
    <t>Design decision, 2026-09-28</t>
  </si>
  <si>
    <t>Q13</t>
  </si>
  <si>
    <t>Where is data hosted?</t>
  </si>
  <si>
    <t>SQLite on the DigitalOcean droplet (1 GB RAM, 25 GB disk), backed up continuously by Litestream; MFE on Vercel; photos in object storage later</t>
  </si>
  <si>
    <t>Q14</t>
  </si>
  <si>
    <t>Can schema changes lose existing (test) data?</t>
  </si>
  <si>
    <t>No. Every schema change ships as an Alembic migration that upgrades the file in place, with an automatic backup first; export/import to JSON is available for moves</t>
  </si>
  <si>
    <t>PO requirement, 2026-09-28</t>
  </si>
  <si>
    <t>1.2 Open items</t>
  </si>
  <si>
    <t>Item</t>
  </si>
  <si>
    <t>Needed by</t>
  </si>
  <si>
    <t>O1</t>
  </si>
  <si>
    <t>Hosting choice (closed) Closed by Q13</t>
  </si>
  <si>
    <t>PO</t>
  </si>
  <si>
    <t>O5</t>
  </si>
  <si>
    <t>Can one reward ever span two tiles (e.g. a treat for Career + Fun)? Current rule: no; create one reward per tile. Revisit if it comes up in real use</t>
  </si>
  <si>
    <t>Before HLR-9 build</t>
  </si>
  <si>
    <t>O2</t>
  </si>
  <si>
    <t>Confirm no data needs migrating from the old Neo4j rewards</t>
  </si>
  <si>
    <t>Before merging to main</t>
  </si>
  <si>
    <t>O3</t>
  </si>
  <si>
    <t>Reminder channel for the web (push vs email)</t>
  </si>
  <si>
    <t>Integration phase</t>
  </si>
  <si>
    <t>O4</t>
  </si>
  <si>
    <t>Claude model and per-request cost budget for vision</t>
  </si>
  <si>
    <t>Phase 4</t>
  </si>
  <si>
    <t>2. Feature-level As-Is → To-Be</t>
  </si>
  <si>
    <t>Feature</t>
  </si>
  <si>
    <t>As-Is (old in-site rewards)</t>
  </si>
  <si>
    <t>To-Be (Rewards MFE)</t>
  </si>
  <si>
    <t>LLR</t>
  </si>
  <si>
    <t>Navigation</t>
  </si>
  <si>
    <t>Goals / Rewards tabs, modal-heavy</t>
  </si>
  <si>
    <t>Tiles → Areas → Area → Task; Rewards tab; deep links #/rewards/...</t>
  </si>
  <si>
    <t>LLR-1, LLR-7</t>
  </si>
  <si>
    <t>Categories</t>
  </si>
  <si>
    <t>6 fixed + custom categories for goals</t>
  </si>
  <si>
    <t>3 fixed tiles; add/rename/delete areas</t>
  </si>
  <si>
    <t>Unit of work</t>
  </si>
  <si>
    <t>Goal (title, description, type, target days)</t>
  </si>
  <si>
    <t>Task (title, notes, priority, frequency, status, relevance, source)</t>
  </si>
  <si>
    <t>"Log today": did it?, duration, note</t>
  </si>
  <si>
    <t>Complete now or backfill 1–2 days; note</t>
  </si>
  <si>
    <t>Streak</t>
  </si>
  <si>
    <t>Per task, daily or weekly periods; current + best</t>
  </si>
  <si>
    <t>Milestones</t>
  </si>
  <si>
    <t>Day-number milestones per goal</t>
  </si>
  <si>
    <t>Replaced by reward rules (streak of N)</t>
  </si>
  <si>
    <t>LLR-4.x</t>
  </si>
  <si>
    <t>Per goal/milestone, ₹ value, claim → receive</t>
  </si>
  <si>
    <t>Many-to-many with tasks; completions or streak rule; auto-unlock; claim</t>
  </si>
  <si>
    <t>Reward scope</t>
  </si>
  <si>
    <t>Reward inherits its goal's category (6 goal categories)</t>
  </si>
  <si>
    <t>Reward has its own tile + optional area from the same taxonomy as tasks; tasks matched by scope (selected, or all in scope)</t>
  </si>
  <si>
    <t>Streamlit dashboard</t>
  </si>
  <si>
    <t>Photo → suggestions (⏳)</t>
  </si>
  <si>
    <t>Auth</t>
  </si>
  <si>
    <t>Passcode gate (disabled)</t>
  </si>
  <si>
    <t>Demo bearer token at the BFF</t>
  </si>
  <si>
    <t>Express + Neo4j (/api/rewards)</t>
  </si>
  <si>
    <t>FastAPI BFF + SQLite</t>
  </si>
  <si>
    <t>3. Detailed functional requirements</t>
  </si>
  <si>
    <t>LLR-1 Tiles and areas (HLR-1)</t>
  </si>
  <si>
    <t>🟡</t>
  </si>
  <si>
    <t>AC-1.3</t>
  </si>
  <si>
    <t>• *Given* Fun contains "Hobbies" *when* the user adds "hobbies" *then* it's rejected with "'hobbies' already exists in this category" (409) and nothing is created.</t>
  </si>
  <si>
    <t>• *Given* an empty name *when* submitted *then* the Add button is disabled and the API rejects it (422).</t>
  </si>
  <si>
    <t>AC-1.5</t>
  </si>
  <si>
    <t>• *Given* an area with 2 tasks *when* it's deleted and confirmed *then* the area and both tasks return 404 afterwards.</t>
  </si>
  <si>
    <t>LLR-2 Task management (HLR-2)</t>
  </si>
  <si>
    <t>AC-2.3</t>
  </si>
  <si>
    <t>• *Given* a low-priority task created before a high-priority one *when* the list loads *then* the high one is first.</t>
  </si>
  <si>
    <t>AC-2.4</t>
  </si>
  <si>
    <t>• *Given* one task is archived *when* filtering status = active *then* only the other task shows.</t>
  </si>
  <si>
    <t>LLR-3 Completion, activity log and streaks (HLR-3)</t>
  </si>
  <si>
    <t>Business rules: streaks</t>
  </si>
  <si>
    <t>Rule</t>
  </si>
  <si>
    <t>AC-3 (streak)</t>
  </si>
  <si>
    <t>• *Given* a daily task *when* completed yesterday and then today *then* current = 2 and best = 2.</t>
  </si>
  <si>
    <t>• *Given* the same task completed again today *then* current stays 2 and completion count becomes 3.</t>
  </si>
  <si>
    <t>• *Given* last completion 2 days ago (none yesterday) *then* current = 0 and best keeps its value.</t>
  </si>
  <si>
    <t>• *Given* a weekly task done this Monday and last Sunday *then* current = 2 (different weeks).</t>
  </si>
  <si>
    <t>LLR-4 Rewards (HLR-4)</t>
  </si>
  <si>
    <t>Reward scope and matching (HLR-9) ⏳ next</t>
  </si>
  <si>
    <t>Business rules: rewards</t>
  </si>
  <si>
    <t>AC-4b (scope and matching)</t>
  </si>
  <si>
    <t>• *Given* a reward scoped to Household › Kitchen *when* the user tries to tag the Laundry task *then* it's rejected: "“Wash whites” isn't in Household › Kitchen" (422).</t>
  </si>
  <si>
    <t>• *Given* a reward "Weekend brunch" scoped to Household with *All tasks in scope*, 3 completions *when* the user completes any Household task (Kitchen or Laundry) *then* progress counts it without tagging. A Career task never counts.</t>
  </si>
  <si>
    <t>• *Given* a new Kitchen task is created after the reward *when* it's completed *then* it counts towards the Household reward immediately.</t>
  </si>
  <si>
    <t>• *Given* the Kitchen area screen *then* "Rewards you can earn here" lists rewards scoped to Household › Kitchen and to Household, not Fun or Household › Laundry.</t>
  </si>
  <si>
    <t>• *Given* an existing reward tagged only to Kitchen tasks *when* the migration runs *then* its scope becomes Household › Kitchen, and its tags, progress and status are unchanged.</t>
  </si>
  <si>
    <t>• *Given* the Kitchen area is deleted *then* a reward scoped to Household › Kitchen becomes scoped to Household and keeps its status.</t>
  </si>
  <si>
    <t>AC-4 (demo flow)</t>
  </si>
  <si>
    <t>• *Given* a task with 2 completions and a locked "3 completions" reward *when* the reward is tagged to the task *then* progress = 2/3 (67 %).</t>
  </si>
  <si>
    <t>• *When* the task is completed once more *then* the response lists the reward as unlocked and the UI shows "🎉 Reward unlocked: &lt;title&gt;".</t>
  </si>
  <si>
    <t>• *When* the user claims it *then* the status is claimed and claimedAt is set.</t>
  </si>
  <si>
    <t>LLR-5 Insights dashboard (HLR-5)</t>
  </si>
  <si>
    <t>⏳ (HLR-9)</t>
  </si>
  <si>
    <t>LLR-6 AI task suggestions (HLR-6) ⏳</t>
  </si>
  <si>
    <t>LLR-7 Module composition (HLR-7)</t>
  </si>
  <si>
    <t>🟡 (verified in browser)</t>
  </si>
  <si>
    <t>LLR-8 BFF API (HLR-8)</t>
  </si>
  <si>
    <t>4. Screen requirements (MFE)</t>
  </si>
  <si>
    <t>Screen</t>
  </si>
  <si>
    <t>Must show</t>
  </si>
  <si>
    <t>States</t>
  </si>
  <si>
    <t>Primary actions</t>
  </si>
  <si>
    <t>Tiles</t>
  </si>
  <si>
    <t>3 tiles: icon, name, area count, active task count</t>
  </si>
  <si>
    <t>loading, error+retry, empty</t>
  </si>
  <si>
    <t>open tile</t>
  </si>
  <si>
    <t>Tile (category)</t>
  </si>
  <si>
    <t>Breadcrumb; areas with active count</t>
  </si>
  <si>
    <t>loading, error, empty ("No areas yet"), not found</t>
  </si>
  <si>
    <t>add, rename (inline), delete (confirm)</t>
  </si>
  <si>
    <t>Breadcrumb; active count; add form; filters (collapsible); task rows (title, frequency, source, status, streak 🔥, priority select, ✓); ⏳ "Rewards you can earn here" (matching rewards with progress)</t>
  </si>
  <si>
    <t>loading, error, "No tasks yet" / "No tasks match these filters"; ⏳ "No rewards for this area yet" + create link prefilled with this scope</t>
  </si>
  <si>
    <t>add task, filter, reprioritise, quick complete, open task; ⏳ create reward for this area</t>
  </si>
  <si>
    <t>Task</t>
  </si>
  <si>
    <t>Breadcrumb; stats (current, best, completions); log completion (when + note); matching rewards (tagged, or ⏳ "Counts automatically") + tag select limited to in-scope rewards; settings chips; activity log</t>
  </si>
  <si>
    <t>loading, error, "No completions yet", inactive-task notice</t>
  </si>
  <si>
    <t>complete, tag reward, change settings</t>
  </si>
  <si>
    <t>Status filter; ⏳ tile and area filters; create form (⏳ tile → area → match mode, then task picker limited to scope, grouped by area); cards: image, title, ⏳ scope breadcrumb + match mode, status, rule, progress, tags</t>
  </si>
  <si>
    <t>loading, error, empty per filter; ⏳ *Needs a tile* badge</t>
  </si>
  <si>
    <t>create, claim, edit tasks, ⏳ change scope (locked only)</t>
  </si>
  <si>
    <t>Touch and accessibility: controls ≥ 44 px high (chips ≥ 36 px), inputs 16 px, labelled controls, role="radiogroup" chips, aria-live toasts, focus ring visible, reduced-motion respected.</t>
  </si>
  <si>
    <t>5. User-facing messages</t>
  </si>
  <si>
    <t>Code / situation</t>
  </si>
  <si>
    <t>Message</t>
  </si>
  <si>
    <t>BFF unreachable</t>
  </si>
  <si>
    <t>"Can't reach the rewards service. Is the BFF running?"</t>
  </si>
  <si>
    <t>Remote unavailable (host)</t>
  </si>
  <si>
    <t>"Rewards is unavailable right now. The rewards module couldn't be loaded. The rest of the site still works."</t>
  </si>
  <si>
    <t>Duplicate area</t>
  </si>
  <si>
    <t>"'&lt;name&gt;' already exists in this category"</t>
  </si>
  <si>
    <t>Complete inactive task</t>
  </si>
  <si>
    <t>"Only active tasks can be completed (this one is &lt;status&gt;)"</t>
  </si>
  <si>
    <t>Future completion</t>
  </si>
  <si>
    <t>"completedAt cannot be in the future"</t>
  </si>
  <si>
    <t>Claim locked reward</t>
  </si>
  <si>
    <t>"This reward is still locked"</t>
  </si>
  <si>
    <t>Unknown tagged tasks</t>
  </si>
  <si>
    <t>"Unknown task ids: [..]"</t>
  </si>
  <si>
    <t>Unlock</t>
  </si>
  <si>
    <t>"🎉 Reward unlocked: &lt;title&gt;"</t>
  </si>
  <si>
    <t>⏳ Tag outside scope</t>
  </si>
  <si>
    <t>"“&lt;task&gt;” isn't in &lt;tile&gt; › &lt;area&gt;"</t>
  </si>
  <si>
    <t>⏳ Area from another tile</t>
  </si>
  <si>
    <t>"&lt;area&gt; isn't part of &lt;tile&gt;"</t>
  </si>
  <si>
    <t>⏳ Reward needs a tile</t>
  </si>
  <si>
    <t>"Pick a tile for this reward to keep editing it"</t>
  </si>
  <si>
    <t>⏳ Narrowing scope</t>
  </si>
  <si>
    <t>"Changing the scope will untag: &lt;task list&gt;. Continue?"</t>
  </si>
  <si>
    <t>⏳ AI fallback</t>
  </si>
  <si>
    <t>"AI suggestions unavailable, add tasks manually"</t>
  </si>
  <si>
    <t>6. Detailed non-functional requirements</t>
  </si>
  <si>
    <t>Verification</t>
  </si>
  <si>
    <t>build output</t>
  </si>
  <si>
    <t>Resource Timing</t>
  </si>
  <si>
    <t>st.cache_data TTL</t>
  </si>
  <si>
    <t>measured scrollWidth = viewport</t>
  </si>
  <si>
    <t>code review (task_stats)</t>
  </si>
  <si>
    <t>traceability §7</t>
  </si>
  <si>
    <t>migration tests</t>
  </si>
  <si>
    <t>UTCDateTime raises</t>
  </si>
  <si>
    <t>7. Traceability matrix</t>
  </si>
  <si>
    <t>Endpoint(s)</t>
  </si>
  <si>
    <t>Automated test(s)</t>
  </si>
  <si>
    <t>lifespan seed, GET /categories</t>
  </si>
  <si>
    <t>test_seeded_tiles_and_sub_tiles</t>
  </si>
  <si>
    <t>LLR-1.3–1.5</t>
  </si>
  <si>
    <t>POST/PATCH/DELETE /areas</t>
  </si>
  <si>
    <t>test_area_add_rename_delete</t>
  </si>
  <si>
    <t>LLR-2.1, 2.3–2.5, 2.8, 2.9</t>
  </si>
  <si>
    <t>POST /areas/{id}/tasks, GET /areas/{id}/tasks, PATCH /tasks/{id}, GET /tasks</t>
  </si>
  <si>
    <t>test_create_filter_and_reprioritise_tasks</t>
  </si>
  <si>
    <t>LLR-3.1, 3.6, 3.7; BR-R2–R4</t>
  </si>
  <si>
    <t>POST /tasks/{id}/complete, GET /tasks/{id}/activity, GET /tasks/{id}</t>
  </si>
  <si>
    <t>test_completions_build_streak_and_activity_log, test_daily_streak, test_weekly_streak</t>
  </si>
  <si>
    <t>LLR-3.3–3.5; BR-R4, R5</t>
  </si>
  <si>
    <t>POST /tasks/{id}/complete</t>
  </si>
  <si>
    <t>test_completion_rules, test_one_off_streak_is_done_or_not</t>
  </si>
  <si>
    <t>LLR-4.1, 4.2, 4.6, 4.7; BR-R7, R9, R10</t>
  </si>
  <si>
    <t>/rewards*</t>
  </si>
  <si>
    <t>test_reward_unlocks_on_completion_count_then_claim, test_reward_already_met_unlocks_on_create_and_rejects_unknown_tasks, test_completions_rule_progress</t>
  </si>
  <si>
    <t>test_streak_reward_uses_best_current_streak_across_tasks, test_streak_rule_progress</t>
  </si>
  <si>
    <t>test_unlocked_reward_stays_complete_after_streak_breaks</t>
  </si>
  <si>
    <t>LLR-5.1, 5.9, 5.10</t>
  </si>
  <si>
    <t>GET /dashboard/summary</t>
  </si>
  <si>
    <t>test_dashboard_summary_is_flat_snake_case</t>
  </si>
  <si>
    <t>all</t>
  </si>
  <si>
    <t>test_requires_demo_token</t>
  </si>
  <si>
    <t>LLR-7.x, 5.2–5.8</t>
  </si>
  <si>
    <t>Manual E2E (browser, 375 px); planned Playwright smoke</t>
  </si>
  <si>
    <t>planned: adapter tests with FakeVisionAdapter, fallback tests</t>
  </si>
  <si>
    <t>LLR-4.9–4.11, 4.16; BR-R12</t>
  </si>
  <si>
    <t>POST/PATCH /rewards, PUT /rewards/{id}/tasks</t>
  </si>
  <si>
    <t>⏳ planned: test_reward_scope_validation, test_tagging_outside_scope_rejected, test_narrowing_scope_untags</t>
  </si>
  <si>
    <t>LLR-4.10; BR-R13–R15</t>
  </si>
  <si>
    <t>⏳ planned: test_all_in_scope_counts_untagged_and_new_tasks, test_other_tile_never_counts</t>
  </si>
  <si>
    <t>LLR-4.14, 4.15; LLR-8.8</t>
  </si>
  <si>
    <t>GET /areas/{id}/rewards, GET /tasks/{id}</t>
  </si>
  <si>
    <t>⏳ planned: test_area_lists_matching_rewards, test_task_detail_lists_matching_rewards</t>
  </si>
  <si>
    <t>DELETE /areas/{id}</t>
  </si>
  <si>
    <t>⏳ planned: test_deleting_area_widens_reward_scope</t>
  </si>
  <si>
    <t>LLR-8.9; NFR-D8</t>
  </si>
  <si>
    <t>startup migrations, app.backup</t>
  </si>
  <si>
    <t>test_models_match_migrations, test_pre_migration_database_is_stamped_not_rebuilt, test_migrate_is_idempotent, test_export_import_round_trip, test_import_refuses_non_empty_target_without_replace</t>
  </si>
  <si>
    <t>LLR-4.18; BR-R16</t>
  </si>
  <si>
    <t>migration 0002_reward_scope</t>
  </si>
  <si>
    <t>⏳ planned: test_migration_infers_scope_and_keeps_data (runs against a pre-migration fixture database)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</si>
</sst>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rgb="FF1A1A1A"/>
      <name val="Arial"/>
    </font>
    <font>
      <sz val="11"/>
      <color rgb="FF404040"/>
      <name val="Arial"/>
    </font>
    <font>
      <b/>
      <sz val="12"/>
      <color rgb="FF1A1A1A"/>
      <name val="Arial"/>
    </font>
    <font>
      <i/>
      <sz val="11"/>
      <color rgb="FF404040"/>
      <name val="Arial"/>
    </font>
    <font>
      <b/>
      <sz val="11"/>
      <color rgb="FFFFFFFF"/>
      <name val="Arial"/>
    </font>
    <font>
      <b/>
      <sz val="11"/>
      <color rgb="FF1A1A1A"/>
      <name val="Arial"/>
    </font>
  </fonts>
  <fills count="5">
    <fill>
      <patternFill patternType="none"/>
    </fill>
    <fill>
      <patternFill patternType="gray125"/>
    </fill>
    <fill>
      <patternFill patternType="solid">
        <fgColor rgb="FFF0F5FD"/>
      </patternFill>
    </fill>
    <fill>
      <patternFill patternType="solid">
        <fgColor rgb="FF305BAB"/>
      </patternFill>
    </fill>
    <fill>
      <patternFill patternType="solid">
        <fgColor rgb="FFFFF6B6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1" fillId="0" borderId="0" xfId="0" applyFont="1"/>
    <xf numFmtId="0" fontId="4" fillId="0" borderId="0" xfId="0" applyFont="1"/>
    <xf numFmtId="0" fontId="5" fillId="3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9" fontId="2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9" fontId="6" fillId="0" borderId="1" xfId="0" applyNumberFormat="1" applyFont="1" applyBorder="1" applyAlignment="1">
      <alignment vertical="top" wrapText="1"/>
    </xf>
    <xf numFmtId="0" fontId="2" fillId="0" borderId="0" xfId="0" applyFont="1" applyAlignment="1">
      <alignment vertical="top"/>
    </xf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tabSelected="1" workbookViewId="0"/>
  </sheetViews>
  <sheetFormatPr defaultRowHeight="14.5" x14ac:dyDescent="0.35"/>
  <cols>
    <col min="1" max="1" width="130" customWidth="1"/>
  </cols>
  <sheetData>
    <row r="1" spans="1:1" ht="20" x14ac:dyDescent="0.35">
      <c r="A1" s="1" t="s">
        <v>0</v>
      </c>
    </row>
    <row r="2" spans="1:1" x14ac:dyDescent="0.35">
      <c r="A2" s="2" t="s">
        <v>1</v>
      </c>
    </row>
    <row r="3" spans="1:1" x14ac:dyDescent="0.35">
      <c r="A3" s="2"/>
    </row>
    <row r="4" spans="1:1" ht="15.5" x14ac:dyDescent="0.35">
      <c r="A4" s="3" t="s">
        <v>2</v>
      </c>
    </row>
    <row r="5" spans="1:1" ht="28" x14ac:dyDescent="0.35">
      <c r="A5" s="2" t="s">
        <v>3</v>
      </c>
    </row>
    <row r="6" spans="1:1" ht="28" x14ac:dyDescent="0.35">
      <c r="A6" s="2" t="s">
        <v>4</v>
      </c>
    </row>
    <row r="7" spans="1:1" x14ac:dyDescent="0.35">
      <c r="A7" s="2" t="s">
        <v>5</v>
      </c>
    </row>
    <row r="8" spans="1:1" x14ac:dyDescent="0.35">
      <c r="A8" s="2" t="s">
        <v>6</v>
      </c>
    </row>
    <row r="9" spans="1:1" x14ac:dyDescent="0.35">
      <c r="A9" s="2" t="s">
        <v>7</v>
      </c>
    </row>
    <row r="10" spans="1:1" x14ac:dyDescent="0.35">
      <c r="A10" s="2"/>
    </row>
    <row r="11" spans="1:1" ht="15.5" x14ac:dyDescent="0.35">
      <c r="A11" s="3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/>
    </row>
    <row r="18" spans="1:1" ht="15.5" x14ac:dyDescent="0.35">
      <c r="A18" s="3" t="s">
        <v>14</v>
      </c>
    </row>
    <row r="19" spans="1:1" x14ac:dyDescent="0.35">
      <c r="A19" s="2" t="s">
        <v>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7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2" customWidth="1"/>
    <col min="2" max="2" width="24" customWidth="1"/>
    <col min="3" max="3" width="14" customWidth="1"/>
    <col min="4" max="4" width="80" customWidth="1"/>
    <col min="5" max="5" width="20" customWidth="1"/>
    <col min="6" max="6" width="12" customWidth="1"/>
    <col min="7" max="7" width="14" customWidth="1"/>
    <col min="8" max="9" width="40" customWidth="1"/>
    <col min="10" max="10" width="34" customWidth="1"/>
  </cols>
  <sheetData>
    <row r="1" spans="1:10" ht="20" x14ac:dyDescent="0.4">
      <c r="A1" s="4" t="s">
        <v>16</v>
      </c>
    </row>
    <row r="2" spans="1:10" x14ac:dyDescent="0.35">
      <c r="A2" s="5" t="s">
        <v>17</v>
      </c>
    </row>
    <row r="4" spans="1:10" x14ac:dyDescent="0.35">
      <c r="A4" s="6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  <c r="I4" s="6" t="s">
        <v>26</v>
      </c>
      <c r="J4" s="6" t="s">
        <v>27</v>
      </c>
    </row>
    <row r="5" spans="1:10" ht="28" x14ac:dyDescent="0.35">
      <c r="A5" s="7" t="s">
        <v>28</v>
      </c>
      <c r="B5" s="7" t="s">
        <v>29</v>
      </c>
      <c r="C5" s="7"/>
      <c r="D5" s="8" t="s">
        <v>30</v>
      </c>
      <c r="E5" s="8"/>
      <c r="F5" s="8" t="s">
        <v>31</v>
      </c>
      <c r="G5" s="8" t="s">
        <v>32</v>
      </c>
      <c r="H5" s="8" t="s">
        <v>33</v>
      </c>
      <c r="I5" s="8"/>
      <c r="J5" s="7" t="s">
        <v>34</v>
      </c>
    </row>
    <row r="6" spans="1:10" ht="28" x14ac:dyDescent="0.35">
      <c r="A6" s="7" t="s">
        <v>35</v>
      </c>
      <c r="B6" s="7" t="s">
        <v>29</v>
      </c>
      <c r="C6" s="7"/>
      <c r="D6" s="8" t="s">
        <v>36</v>
      </c>
      <c r="E6" s="8"/>
      <c r="F6" s="8" t="s">
        <v>31</v>
      </c>
      <c r="G6" s="8" t="s">
        <v>32</v>
      </c>
      <c r="H6" s="8" t="s">
        <v>37</v>
      </c>
      <c r="I6" s="8"/>
      <c r="J6" s="7" t="s">
        <v>34</v>
      </c>
    </row>
    <row r="7" spans="1:10" ht="28" x14ac:dyDescent="0.35">
      <c r="A7" s="7" t="s">
        <v>38</v>
      </c>
      <c r="B7" s="7" t="s">
        <v>29</v>
      </c>
      <c r="C7" s="7"/>
      <c r="D7" s="8" t="s">
        <v>39</v>
      </c>
      <c r="E7" s="8"/>
      <c r="F7" s="8" t="s">
        <v>31</v>
      </c>
      <c r="G7" s="8" t="s">
        <v>32</v>
      </c>
      <c r="H7" s="8" t="s">
        <v>40</v>
      </c>
      <c r="I7" s="8"/>
      <c r="J7" s="7" t="s">
        <v>34</v>
      </c>
    </row>
    <row r="8" spans="1:10" x14ac:dyDescent="0.35">
      <c r="A8" s="7" t="s">
        <v>41</v>
      </c>
      <c r="B8" s="7" t="s">
        <v>29</v>
      </c>
      <c r="C8" s="7"/>
      <c r="D8" s="8" t="s">
        <v>42</v>
      </c>
      <c r="E8" s="8"/>
      <c r="F8" s="8" t="s">
        <v>31</v>
      </c>
      <c r="G8" s="8" t="s">
        <v>32</v>
      </c>
      <c r="H8" s="8" t="s">
        <v>43</v>
      </c>
      <c r="I8" s="8"/>
      <c r="J8" s="7" t="s">
        <v>34</v>
      </c>
    </row>
    <row r="9" spans="1:10" ht="28" x14ac:dyDescent="0.35">
      <c r="A9" s="7" t="s">
        <v>44</v>
      </c>
      <c r="B9" s="7" t="s">
        <v>29</v>
      </c>
      <c r="C9" s="7"/>
      <c r="D9" s="8" t="s">
        <v>45</v>
      </c>
      <c r="E9" s="8"/>
      <c r="F9" s="8" t="s">
        <v>31</v>
      </c>
      <c r="G9" s="8" t="s">
        <v>32</v>
      </c>
      <c r="H9" s="8" t="s">
        <v>46</v>
      </c>
      <c r="I9" s="8"/>
      <c r="J9" s="7" t="s">
        <v>34</v>
      </c>
    </row>
    <row r="10" spans="1:10" x14ac:dyDescent="0.35">
      <c r="A10" s="7" t="s">
        <v>47</v>
      </c>
      <c r="B10" s="7" t="s">
        <v>48</v>
      </c>
      <c r="C10" s="7"/>
      <c r="D10" s="8" t="s">
        <v>49</v>
      </c>
      <c r="E10" s="8" t="s">
        <v>50</v>
      </c>
      <c r="F10" s="8" t="s">
        <v>51</v>
      </c>
      <c r="G10" s="8" t="s">
        <v>32</v>
      </c>
      <c r="H10" s="8"/>
      <c r="I10" s="8"/>
      <c r="J10" s="7" t="s">
        <v>34</v>
      </c>
    </row>
    <row r="11" spans="1:10" x14ac:dyDescent="0.35">
      <c r="A11" s="7" t="s">
        <v>52</v>
      </c>
      <c r="B11" s="7" t="s">
        <v>48</v>
      </c>
      <c r="C11" s="7"/>
      <c r="D11" s="8" t="s">
        <v>53</v>
      </c>
      <c r="E11" s="8" t="s">
        <v>50</v>
      </c>
      <c r="F11" s="8" t="s">
        <v>51</v>
      </c>
      <c r="G11" s="8" t="s">
        <v>32</v>
      </c>
      <c r="H11" s="8"/>
      <c r="I11" s="8"/>
      <c r="J11" s="7" t="s">
        <v>34</v>
      </c>
    </row>
    <row r="12" spans="1:10" x14ac:dyDescent="0.35">
      <c r="A12" s="7" t="s">
        <v>54</v>
      </c>
      <c r="B12" s="7" t="s">
        <v>48</v>
      </c>
      <c r="C12" s="7"/>
      <c r="D12" s="8" t="s">
        <v>55</v>
      </c>
      <c r="E12" s="8" t="s">
        <v>50</v>
      </c>
      <c r="F12" s="8" t="s">
        <v>51</v>
      </c>
      <c r="G12" s="8" t="s">
        <v>32</v>
      </c>
      <c r="H12" s="8"/>
      <c r="I12" s="8"/>
      <c r="J12" s="7" t="s">
        <v>34</v>
      </c>
    </row>
    <row r="13" spans="1:10" x14ac:dyDescent="0.35">
      <c r="A13" s="7" t="s">
        <v>56</v>
      </c>
      <c r="B13" s="7" t="s">
        <v>48</v>
      </c>
      <c r="C13" s="7"/>
      <c r="D13" s="8" t="s">
        <v>57</v>
      </c>
      <c r="E13" s="8" t="s">
        <v>50</v>
      </c>
      <c r="F13" s="8" t="s">
        <v>51</v>
      </c>
      <c r="G13" s="8" t="s">
        <v>32</v>
      </c>
      <c r="H13" s="8"/>
      <c r="I13" s="8"/>
      <c r="J13" s="7" t="s">
        <v>34</v>
      </c>
    </row>
    <row r="14" spans="1:10" x14ac:dyDescent="0.35">
      <c r="A14" s="7" t="s">
        <v>58</v>
      </c>
      <c r="B14" s="7" t="s">
        <v>48</v>
      </c>
      <c r="C14" s="7"/>
      <c r="D14" s="8" t="s">
        <v>59</v>
      </c>
      <c r="E14" s="8" t="s">
        <v>50</v>
      </c>
      <c r="F14" s="8" t="s">
        <v>51</v>
      </c>
      <c r="G14" s="8" t="s">
        <v>32</v>
      </c>
      <c r="H14" s="8"/>
      <c r="I14" s="8"/>
      <c r="J14" s="7" t="s">
        <v>34</v>
      </c>
    </row>
    <row r="15" spans="1:10" x14ac:dyDescent="0.35">
      <c r="A15" s="7" t="s">
        <v>60</v>
      </c>
      <c r="B15" s="7" t="s">
        <v>48</v>
      </c>
      <c r="C15" s="7"/>
      <c r="D15" s="8" t="s">
        <v>61</v>
      </c>
      <c r="E15" s="8" t="s">
        <v>62</v>
      </c>
      <c r="F15" s="8" t="s">
        <v>31</v>
      </c>
      <c r="G15" s="8" t="s">
        <v>32</v>
      </c>
      <c r="H15" s="8"/>
      <c r="I15" s="8"/>
      <c r="J15" s="7" t="s">
        <v>34</v>
      </c>
    </row>
    <row r="16" spans="1:10" x14ac:dyDescent="0.35">
      <c r="A16" s="7" t="s">
        <v>63</v>
      </c>
      <c r="B16" s="7" t="s">
        <v>48</v>
      </c>
      <c r="C16" s="7"/>
      <c r="D16" s="8" t="s">
        <v>64</v>
      </c>
      <c r="E16" s="8" t="s">
        <v>50</v>
      </c>
      <c r="F16" s="8" t="s">
        <v>51</v>
      </c>
      <c r="G16" s="8" t="s">
        <v>32</v>
      </c>
      <c r="H16" s="8"/>
      <c r="I16" s="8"/>
      <c r="J16" s="7" t="s">
        <v>34</v>
      </c>
    </row>
    <row r="17" spans="1:10" x14ac:dyDescent="0.35">
      <c r="A17" s="7" t="s">
        <v>65</v>
      </c>
      <c r="B17" s="7" t="s">
        <v>48</v>
      </c>
      <c r="C17" s="7"/>
      <c r="D17" s="8" t="s">
        <v>66</v>
      </c>
      <c r="E17" s="8" t="s">
        <v>50</v>
      </c>
      <c r="F17" s="8" t="s">
        <v>51</v>
      </c>
      <c r="G17" s="8" t="s">
        <v>32</v>
      </c>
      <c r="H17" s="8"/>
      <c r="I17" s="8"/>
      <c r="J17" s="7" t="s">
        <v>34</v>
      </c>
    </row>
    <row r="18" spans="1:10" ht="42" x14ac:dyDescent="0.35">
      <c r="A18" s="7" t="s">
        <v>67</v>
      </c>
      <c r="B18" s="7" t="s">
        <v>48</v>
      </c>
      <c r="C18" s="7"/>
      <c r="D18" s="8" t="s">
        <v>68</v>
      </c>
      <c r="E18" s="8" t="s">
        <v>69</v>
      </c>
      <c r="F18" s="8" t="s">
        <v>51</v>
      </c>
      <c r="G18" s="8" t="s">
        <v>32</v>
      </c>
      <c r="H18" s="8"/>
      <c r="I18" s="8"/>
      <c r="J18" s="7" t="s">
        <v>34</v>
      </c>
    </row>
    <row r="19" spans="1:10" x14ac:dyDescent="0.35">
      <c r="A19" s="7" t="s">
        <v>70</v>
      </c>
      <c r="B19" s="7" t="s">
        <v>71</v>
      </c>
      <c r="C19" s="7" t="s">
        <v>72</v>
      </c>
      <c r="D19" s="8" t="s">
        <v>73</v>
      </c>
      <c r="E19" s="8" t="s">
        <v>74</v>
      </c>
      <c r="F19" s="8" t="s">
        <v>51</v>
      </c>
      <c r="G19" s="8" t="s">
        <v>32</v>
      </c>
      <c r="H19" s="8"/>
      <c r="I19" s="8"/>
      <c r="J19" s="7" t="s">
        <v>34</v>
      </c>
    </row>
    <row r="20" spans="1:10" x14ac:dyDescent="0.35">
      <c r="A20" s="7" t="s">
        <v>75</v>
      </c>
      <c r="B20" s="7" t="s">
        <v>71</v>
      </c>
      <c r="C20" s="7" t="s">
        <v>72</v>
      </c>
      <c r="D20" s="8" t="s">
        <v>76</v>
      </c>
      <c r="E20" s="8" t="s">
        <v>74</v>
      </c>
      <c r="F20" s="8" t="s">
        <v>51</v>
      </c>
      <c r="G20" s="8" t="s">
        <v>32</v>
      </c>
      <c r="H20" s="8"/>
      <c r="I20" s="8"/>
      <c r="J20" s="7" t="s">
        <v>34</v>
      </c>
    </row>
    <row r="21" spans="1:10" ht="28" x14ac:dyDescent="0.35">
      <c r="A21" s="7" t="s">
        <v>77</v>
      </c>
      <c r="B21" s="7" t="s">
        <v>71</v>
      </c>
      <c r="C21" s="7" t="s">
        <v>72</v>
      </c>
      <c r="D21" s="8" t="s">
        <v>78</v>
      </c>
      <c r="E21" s="8" t="s">
        <v>74</v>
      </c>
      <c r="F21" s="8" t="s">
        <v>51</v>
      </c>
      <c r="G21" s="8" t="s">
        <v>32</v>
      </c>
      <c r="H21" s="8"/>
      <c r="I21" s="8"/>
      <c r="J21" s="7" t="s">
        <v>34</v>
      </c>
    </row>
    <row r="22" spans="1:10" x14ac:dyDescent="0.35">
      <c r="A22" s="7" t="s">
        <v>79</v>
      </c>
      <c r="B22" s="7" t="s">
        <v>71</v>
      </c>
      <c r="C22" s="7" t="s">
        <v>72</v>
      </c>
      <c r="D22" s="8" t="s">
        <v>80</v>
      </c>
      <c r="E22" s="8" t="s">
        <v>74</v>
      </c>
      <c r="F22" s="8" t="s">
        <v>51</v>
      </c>
      <c r="G22" s="8" t="s">
        <v>32</v>
      </c>
      <c r="H22" s="8"/>
      <c r="I22" s="8"/>
      <c r="J22" s="7" t="s">
        <v>34</v>
      </c>
    </row>
    <row r="23" spans="1:10" x14ac:dyDescent="0.35">
      <c r="A23" s="7" t="s">
        <v>81</v>
      </c>
      <c r="B23" s="7" t="s">
        <v>71</v>
      </c>
      <c r="C23" s="7" t="s">
        <v>72</v>
      </c>
      <c r="D23" s="8" t="s">
        <v>82</v>
      </c>
      <c r="E23" s="8" t="s">
        <v>74</v>
      </c>
      <c r="F23" s="8" t="s">
        <v>51</v>
      </c>
      <c r="G23" s="8" t="s">
        <v>32</v>
      </c>
      <c r="H23" s="8"/>
      <c r="I23" s="8"/>
      <c r="J23" s="7" t="s">
        <v>34</v>
      </c>
    </row>
    <row r="24" spans="1:10" ht="28" x14ac:dyDescent="0.35">
      <c r="A24" s="7" t="s">
        <v>83</v>
      </c>
      <c r="B24" s="7" t="s">
        <v>71</v>
      </c>
      <c r="C24" s="7" t="s">
        <v>72</v>
      </c>
      <c r="D24" s="8" t="s">
        <v>84</v>
      </c>
      <c r="E24" s="8" t="s">
        <v>74</v>
      </c>
      <c r="F24" s="8" t="s">
        <v>51</v>
      </c>
      <c r="G24" s="8" t="s">
        <v>32</v>
      </c>
      <c r="H24" s="8"/>
      <c r="I24" s="8"/>
      <c r="J24" s="7" t="s">
        <v>34</v>
      </c>
    </row>
    <row r="25" spans="1:10" x14ac:dyDescent="0.35">
      <c r="A25" s="7" t="s">
        <v>85</v>
      </c>
      <c r="B25" s="7" t="s">
        <v>71</v>
      </c>
      <c r="C25" s="7" t="s">
        <v>72</v>
      </c>
      <c r="D25" s="8" t="s">
        <v>86</v>
      </c>
      <c r="E25" s="8" t="s">
        <v>74</v>
      </c>
      <c r="F25" s="8" t="s">
        <v>51</v>
      </c>
      <c r="G25" s="8" t="s">
        <v>32</v>
      </c>
      <c r="H25" s="8"/>
      <c r="I25" s="8"/>
      <c r="J25" s="7" t="s">
        <v>34</v>
      </c>
    </row>
    <row r="26" spans="1:10" ht="28" x14ac:dyDescent="0.35">
      <c r="A26" s="7" t="s">
        <v>87</v>
      </c>
      <c r="B26" s="7" t="s">
        <v>88</v>
      </c>
      <c r="C26" s="7" t="s">
        <v>47</v>
      </c>
      <c r="D26" s="8" t="s">
        <v>89</v>
      </c>
      <c r="E26" s="8" t="s">
        <v>50</v>
      </c>
      <c r="F26" s="8" t="s">
        <v>51</v>
      </c>
      <c r="G26" s="8" t="s">
        <v>32</v>
      </c>
      <c r="H26" s="8"/>
      <c r="I26" s="8"/>
      <c r="J26" s="7" t="s">
        <v>90</v>
      </c>
    </row>
    <row r="27" spans="1:10" ht="28" x14ac:dyDescent="0.35">
      <c r="A27" s="7" t="s">
        <v>91</v>
      </c>
      <c r="B27" s="7" t="s">
        <v>88</v>
      </c>
      <c r="C27" s="7" t="s">
        <v>47</v>
      </c>
      <c r="D27" s="8" t="s">
        <v>92</v>
      </c>
      <c r="E27" s="8" t="s">
        <v>74</v>
      </c>
      <c r="F27" s="8" t="s">
        <v>51</v>
      </c>
      <c r="G27" s="8" t="s">
        <v>32</v>
      </c>
      <c r="H27" s="8"/>
      <c r="I27" s="8"/>
      <c r="J27" s="7" t="s">
        <v>90</v>
      </c>
    </row>
    <row r="28" spans="1:10" ht="28" x14ac:dyDescent="0.35">
      <c r="A28" s="7" t="s">
        <v>93</v>
      </c>
      <c r="B28" s="7" t="s">
        <v>88</v>
      </c>
      <c r="C28" s="7" t="s">
        <v>47</v>
      </c>
      <c r="D28" s="8" t="s">
        <v>94</v>
      </c>
      <c r="E28" s="8" t="s">
        <v>50</v>
      </c>
      <c r="F28" s="8" t="s">
        <v>51</v>
      </c>
      <c r="G28" s="8" t="s">
        <v>32</v>
      </c>
      <c r="H28" s="8"/>
      <c r="I28" s="8"/>
      <c r="J28" s="7" t="s">
        <v>90</v>
      </c>
    </row>
    <row r="29" spans="1:10" ht="28" x14ac:dyDescent="0.35">
      <c r="A29" s="7" t="s">
        <v>95</v>
      </c>
      <c r="B29" s="7" t="s">
        <v>88</v>
      </c>
      <c r="C29" s="7" t="s">
        <v>47</v>
      </c>
      <c r="D29" s="8" t="s">
        <v>96</v>
      </c>
      <c r="E29" s="8" t="s">
        <v>50</v>
      </c>
      <c r="F29" s="8" t="s">
        <v>51</v>
      </c>
      <c r="G29" s="8" t="s">
        <v>32</v>
      </c>
      <c r="H29" s="8"/>
      <c r="I29" s="8"/>
      <c r="J29" s="7" t="s">
        <v>90</v>
      </c>
    </row>
    <row r="30" spans="1:10" ht="28" x14ac:dyDescent="0.35">
      <c r="A30" s="7" t="s">
        <v>97</v>
      </c>
      <c r="B30" s="7" t="s">
        <v>88</v>
      </c>
      <c r="C30" s="7" t="s">
        <v>47</v>
      </c>
      <c r="D30" s="8" t="s">
        <v>98</v>
      </c>
      <c r="E30" s="8" t="s">
        <v>50</v>
      </c>
      <c r="F30" s="8" t="s">
        <v>51</v>
      </c>
      <c r="G30" s="8" t="s">
        <v>32</v>
      </c>
      <c r="H30" s="8"/>
      <c r="I30" s="8"/>
      <c r="J30" s="7" t="s">
        <v>90</v>
      </c>
    </row>
    <row r="31" spans="1:10" ht="28" x14ac:dyDescent="0.35">
      <c r="A31" s="7" t="s">
        <v>99</v>
      </c>
      <c r="B31" s="7" t="s">
        <v>88</v>
      </c>
      <c r="C31" s="7" t="s">
        <v>47</v>
      </c>
      <c r="D31" s="8" t="s">
        <v>100</v>
      </c>
      <c r="E31" s="8" t="s">
        <v>74</v>
      </c>
      <c r="F31" s="8" t="s">
        <v>51</v>
      </c>
      <c r="G31" s="8" t="s">
        <v>32</v>
      </c>
      <c r="H31" s="8"/>
      <c r="I31" s="8"/>
      <c r="J31" s="7" t="s">
        <v>90</v>
      </c>
    </row>
    <row r="32" spans="1:10" ht="42" x14ac:dyDescent="0.35">
      <c r="A32" s="7" t="s">
        <v>101</v>
      </c>
      <c r="B32" s="7" t="s">
        <v>88</v>
      </c>
      <c r="C32" s="7" t="s">
        <v>52</v>
      </c>
      <c r="D32" s="8" t="s">
        <v>102</v>
      </c>
      <c r="E32" s="8" t="s">
        <v>50</v>
      </c>
      <c r="F32" s="8" t="s">
        <v>51</v>
      </c>
      <c r="G32" s="8" t="s">
        <v>32</v>
      </c>
      <c r="H32" s="8"/>
      <c r="I32" s="8"/>
      <c r="J32" s="7" t="s">
        <v>90</v>
      </c>
    </row>
    <row r="33" spans="1:10" ht="28" x14ac:dyDescent="0.35">
      <c r="A33" s="7" t="s">
        <v>103</v>
      </c>
      <c r="B33" s="7" t="s">
        <v>88</v>
      </c>
      <c r="C33" s="7" t="s">
        <v>52</v>
      </c>
      <c r="D33" s="8" t="s">
        <v>104</v>
      </c>
      <c r="E33" s="8" t="s">
        <v>74</v>
      </c>
      <c r="F33" s="8" t="s">
        <v>51</v>
      </c>
      <c r="G33" s="8" t="s">
        <v>32</v>
      </c>
      <c r="H33" s="8"/>
      <c r="I33" s="8"/>
      <c r="J33" s="7" t="s">
        <v>90</v>
      </c>
    </row>
    <row r="34" spans="1:10" ht="28" x14ac:dyDescent="0.35">
      <c r="A34" s="7" t="s">
        <v>105</v>
      </c>
      <c r="B34" s="7" t="s">
        <v>88</v>
      </c>
      <c r="C34" s="7" t="s">
        <v>52</v>
      </c>
      <c r="D34" s="8" t="s">
        <v>106</v>
      </c>
      <c r="E34" s="8" t="s">
        <v>50</v>
      </c>
      <c r="F34" s="8" t="s">
        <v>51</v>
      </c>
      <c r="G34" s="8" t="s">
        <v>32</v>
      </c>
      <c r="H34" s="8"/>
      <c r="I34" s="8"/>
      <c r="J34" s="7" t="s">
        <v>90</v>
      </c>
    </row>
    <row r="35" spans="1:10" ht="28" x14ac:dyDescent="0.35">
      <c r="A35" s="7" t="s">
        <v>107</v>
      </c>
      <c r="B35" s="7" t="s">
        <v>88</v>
      </c>
      <c r="C35" s="7" t="s">
        <v>52</v>
      </c>
      <c r="D35" s="8" t="s">
        <v>108</v>
      </c>
      <c r="E35" s="8" t="s">
        <v>50</v>
      </c>
      <c r="F35" s="8" t="s">
        <v>51</v>
      </c>
      <c r="G35" s="8" t="s">
        <v>32</v>
      </c>
      <c r="H35" s="8"/>
      <c r="I35" s="8"/>
      <c r="J35" s="7" t="s">
        <v>90</v>
      </c>
    </row>
    <row r="36" spans="1:10" ht="28" x14ac:dyDescent="0.35">
      <c r="A36" s="7" t="s">
        <v>109</v>
      </c>
      <c r="B36" s="7" t="s">
        <v>88</v>
      </c>
      <c r="C36" s="7" t="s">
        <v>52</v>
      </c>
      <c r="D36" s="8" t="s">
        <v>110</v>
      </c>
      <c r="E36" s="8" t="s">
        <v>50</v>
      </c>
      <c r="F36" s="8" t="s">
        <v>51</v>
      </c>
      <c r="G36" s="8" t="s">
        <v>32</v>
      </c>
      <c r="H36" s="8"/>
      <c r="I36" s="8"/>
      <c r="J36" s="7" t="s">
        <v>90</v>
      </c>
    </row>
    <row r="37" spans="1:10" ht="28" x14ac:dyDescent="0.35">
      <c r="A37" s="7" t="s">
        <v>111</v>
      </c>
      <c r="B37" s="7" t="s">
        <v>88</v>
      </c>
      <c r="C37" s="7" t="s">
        <v>52</v>
      </c>
      <c r="D37" s="8" t="s">
        <v>112</v>
      </c>
      <c r="E37" s="8" t="s">
        <v>50</v>
      </c>
      <c r="F37" s="8" t="s">
        <v>51</v>
      </c>
      <c r="G37" s="8" t="s">
        <v>32</v>
      </c>
      <c r="H37" s="8"/>
      <c r="I37" s="8"/>
      <c r="J37" s="7" t="s">
        <v>90</v>
      </c>
    </row>
    <row r="38" spans="1:10" ht="28" x14ac:dyDescent="0.35">
      <c r="A38" s="7" t="s">
        <v>113</v>
      </c>
      <c r="B38" s="7" t="s">
        <v>88</v>
      </c>
      <c r="C38" s="7" t="s">
        <v>52</v>
      </c>
      <c r="D38" s="8" t="s">
        <v>114</v>
      </c>
      <c r="E38" s="8" t="s">
        <v>74</v>
      </c>
      <c r="F38" s="8" t="s">
        <v>51</v>
      </c>
      <c r="G38" s="8" t="s">
        <v>32</v>
      </c>
      <c r="H38" s="8"/>
      <c r="I38" s="8"/>
      <c r="J38" s="7" t="s">
        <v>90</v>
      </c>
    </row>
    <row r="39" spans="1:10" ht="28" x14ac:dyDescent="0.35">
      <c r="A39" s="7" t="s">
        <v>115</v>
      </c>
      <c r="B39" s="7" t="s">
        <v>88</v>
      </c>
      <c r="C39" s="7" t="s">
        <v>52</v>
      </c>
      <c r="D39" s="8" t="s">
        <v>116</v>
      </c>
      <c r="E39" s="8" t="s">
        <v>50</v>
      </c>
      <c r="F39" s="8" t="s">
        <v>51</v>
      </c>
      <c r="G39" s="8" t="s">
        <v>32</v>
      </c>
      <c r="H39" s="8"/>
      <c r="I39" s="8"/>
      <c r="J39" s="7" t="s">
        <v>90</v>
      </c>
    </row>
    <row r="40" spans="1:10" ht="28" x14ac:dyDescent="0.35">
      <c r="A40" s="7" t="s">
        <v>117</v>
      </c>
      <c r="B40" s="7" t="s">
        <v>88</v>
      </c>
      <c r="C40" s="7" t="s">
        <v>52</v>
      </c>
      <c r="D40" s="8" t="s">
        <v>118</v>
      </c>
      <c r="E40" s="8" t="s">
        <v>50</v>
      </c>
      <c r="F40" s="8" t="s">
        <v>51</v>
      </c>
      <c r="G40" s="8" t="s">
        <v>32</v>
      </c>
      <c r="H40" s="8"/>
      <c r="I40" s="8"/>
      <c r="J40" s="7" t="s">
        <v>90</v>
      </c>
    </row>
    <row r="41" spans="1:10" ht="28" x14ac:dyDescent="0.35">
      <c r="A41" s="7" t="s">
        <v>119</v>
      </c>
      <c r="B41" s="7" t="s">
        <v>88</v>
      </c>
      <c r="C41" s="7" t="s">
        <v>54</v>
      </c>
      <c r="D41" s="8" t="s">
        <v>120</v>
      </c>
      <c r="E41" s="8" t="s">
        <v>50</v>
      </c>
      <c r="F41" s="8" t="s">
        <v>51</v>
      </c>
      <c r="G41" s="8" t="s">
        <v>32</v>
      </c>
      <c r="H41" s="8"/>
      <c r="I41" s="8"/>
      <c r="J41" s="7" t="s">
        <v>90</v>
      </c>
    </row>
    <row r="42" spans="1:10" ht="28" x14ac:dyDescent="0.35">
      <c r="A42" s="7" t="s">
        <v>121</v>
      </c>
      <c r="B42" s="7" t="s">
        <v>88</v>
      </c>
      <c r="C42" s="7" t="s">
        <v>54</v>
      </c>
      <c r="D42" s="8" t="s">
        <v>122</v>
      </c>
      <c r="E42" s="8" t="s">
        <v>74</v>
      </c>
      <c r="F42" s="8" t="s">
        <v>51</v>
      </c>
      <c r="G42" s="8" t="s">
        <v>32</v>
      </c>
      <c r="H42" s="8"/>
      <c r="I42" s="8"/>
      <c r="J42" s="7" t="s">
        <v>90</v>
      </c>
    </row>
    <row r="43" spans="1:10" ht="28" x14ac:dyDescent="0.35">
      <c r="A43" s="7" t="s">
        <v>123</v>
      </c>
      <c r="B43" s="7" t="s">
        <v>88</v>
      </c>
      <c r="C43" s="7" t="s">
        <v>54</v>
      </c>
      <c r="D43" s="8" t="s">
        <v>124</v>
      </c>
      <c r="E43" s="8" t="s">
        <v>50</v>
      </c>
      <c r="F43" s="8" t="s">
        <v>51</v>
      </c>
      <c r="G43" s="8" t="s">
        <v>32</v>
      </c>
      <c r="H43" s="8"/>
      <c r="I43" s="8"/>
      <c r="J43" s="7" t="s">
        <v>90</v>
      </c>
    </row>
    <row r="44" spans="1:10" ht="28" x14ac:dyDescent="0.35">
      <c r="A44" s="7" t="s">
        <v>125</v>
      </c>
      <c r="B44" s="7" t="s">
        <v>88</v>
      </c>
      <c r="C44" s="7" t="s">
        <v>54</v>
      </c>
      <c r="D44" s="8" t="s">
        <v>126</v>
      </c>
      <c r="E44" s="8" t="s">
        <v>50</v>
      </c>
      <c r="F44" s="8" t="s">
        <v>51</v>
      </c>
      <c r="G44" s="8" t="s">
        <v>32</v>
      </c>
      <c r="H44" s="8"/>
      <c r="I44" s="8"/>
      <c r="J44" s="7" t="s">
        <v>90</v>
      </c>
    </row>
    <row r="45" spans="1:10" ht="28" x14ac:dyDescent="0.35">
      <c r="A45" s="7" t="s">
        <v>127</v>
      </c>
      <c r="B45" s="7" t="s">
        <v>88</v>
      </c>
      <c r="C45" s="7" t="s">
        <v>54</v>
      </c>
      <c r="D45" s="8" t="s">
        <v>128</v>
      </c>
      <c r="E45" s="8" t="s">
        <v>50</v>
      </c>
      <c r="F45" s="8" t="s">
        <v>51</v>
      </c>
      <c r="G45" s="8" t="s">
        <v>32</v>
      </c>
      <c r="H45" s="8"/>
      <c r="I45" s="8"/>
      <c r="J45" s="7" t="s">
        <v>90</v>
      </c>
    </row>
    <row r="46" spans="1:10" ht="28" x14ac:dyDescent="0.35">
      <c r="A46" s="7" t="s">
        <v>129</v>
      </c>
      <c r="B46" s="7" t="s">
        <v>88</v>
      </c>
      <c r="C46" s="7" t="s">
        <v>54</v>
      </c>
      <c r="D46" s="8" t="s">
        <v>130</v>
      </c>
      <c r="E46" s="8" t="s">
        <v>50</v>
      </c>
      <c r="F46" s="8" t="s">
        <v>51</v>
      </c>
      <c r="G46" s="8" t="s">
        <v>32</v>
      </c>
      <c r="H46" s="8"/>
      <c r="I46" s="8"/>
      <c r="J46" s="7" t="s">
        <v>90</v>
      </c>
    </row>
    <row r="47" spans="1:10" ht="28" x14ac:dyDescent="0.35">
      <c r="A47" s="7" t="s">
        <v>131</v>
      </c>
      <c r="B47" s="7" t="s">
        <v>88</v>
      </c>
      <c r="C47" s="7" t="s">
        <v>54</v>
      </c>
      <c r="D47" s="8" t="s">
        <v>132</v>
      </c>
      <c r="E47" s="8" t="s">
        <v>50</v>
      </c>
      <c r="F47" s="8" t="s">
        <v>51</v>
      </c>
      <c r="G47" s="8" t="s">
        <v>32</v>
      </c>
      <c r="H47" s="8"/>
      <c r="I47" s="8"/>
      <c r="J47" s="7" t="s">
        <v>90</v>
      </c>
    </row>
    <row r="48" spans="1:10" ht="28" x14ac:dyDescent="0.35">
      <c r="A48" s="7" t="s">
        <v>133</v>
      </c>
      <c r="B48" s="7" t="s">
        <v>88</v>
      </c>
      <c r="C48" s="7" t="s">
        <v>54</v>
      </c>
      <c r="D48" s="8" t="s">
        <v>134</v>
      </c>
      <c r="E48" s="8" t="s">
        <v>74</v>
      </c>
      <c r="F48" s="8" t="s">
        <v>51</v>
      </c>
      <c r="G48" s="8" t="s">
        <v>32</v>
      </c>
      <c r="H48" s="8"/>
      <c r="I48" s="8"/>
      <c r="J48" s="7" t="s">
        <v>90</v>
      </c>
    </row>
    <row r="49" spans="1:10" ht="28" x14ac:dyDescent="0.35">
      <c r="A49" s="7" t="s">
        <v>135</v>
      </c>
      <c r="B49" s="7" t="s">
        <v>88</v>
      </c>
      <c r="C49" s="7" t="s">
        <v>56</v>
      </c>
      <c r="D49" s="8" t="s">
        <v>136</v>
      </c>
      <c r="E49" s="8" t="s">
        <v>50</v>
      </c>
      <c r="F49" s="8" t="s">
        <v>51</v>
      </c>
      <c r="G49" s="8" t="s">
        <v>32</v>
      </c>
      <c r="H49" s="8"/>
      <c r="I49" s="8"/>
      <c r="J49" s="7" t="s">
        <v>90</v>
      </c>
    </row>
    <row r="50" spans="1:10" ht="28" x14ac:dyDescent="0.35">
      <c r="A50" s="7" t="s">
        <v>137</v>
      </c>
      <c r="B50" s="7" t="s">
        <v>88</v>
      </c>
      <c r="C50" s="7" t="s">
        <v>56</v>
      </c>
      <c r="D50" s="8" t="s">
        <v>138</v>
      </c>
      <c r="E50" s="8" t="s">
        <v>50</v>
      </c>
      <c r="F50" s="8" t="s">
        <v>51</v>
      </c>
      <c r="G50" s="8" t="s">
        <v>32</v>
      </c>
      <c r="H50" s="8"/>
      <c r="I50" s="8"/>
      <c r="J50" s="7" t="s">
        <v>90</v>
      </c>
    </row>
    <row r="51" spans="1:10" ht="28" x14ac:dyDescent="0.35">
      <c r="A51" s="7" t="s">
        <v>139</v>
      </c>
      <c r="B51" s="7" t="s">
        <v>88</v>
      </c>
      <c r="C51" s="7" t="s">
        <v>56</v>
      </c>
      <c r="D51" s="8" t="s">
        <v>140</v>
      </c>
      <c r="E51" s="8" t="s">
        <v>74</v>
      </c>
      <c r="F51" s="8" t="s">
        <v>51</v>
      </c>
      <c r="G51" s="8" t="s">
        <v>32</v>
      </c>
      <c r="H51" s="8"/>
      <c r="I51" s="8"/>
      <c r="J51" s="7" t="s">
        <v>90</v>
      </c>
    </row>
    <row r="52" spans="1:10" ht="28" x14ac:dyDescent="0.35">
      <c r="A52" s="7" t="s">
        <v>141</v>
      </c>
      <c r="B52" s="7" t="s">
        <v>88</v>
      </c>
      <c r="C52" s="7" t="s">
        <v>56</v>
      </c>
      <c r="D52" s="8" t="s">
        <v>142</v>
      </c>
      <c r="E52" s="8" t="s">
        <v>50</v>
      </c>
      <c r="F52" s="8" t="s">
        <v>51</v>
      </c>
      <c r="G52" s="8" t="s">
        <v>32</v>
      </c>
      <c r="H52" s="8"/>
      <c r="I52" s="8"/>
      <c r="J52" s="7" t="s">
        <v>90</v>
      </c>
    </row>
    <row r="53" spans="1:10" ht="28" x14ac:dyDescent="0.35">
      <c r="A53" s="7" t="s">
        <v>143</v>
      </c>
      <c r="B53" s="7" t="s">
        <v>88</v>
      </c>
      <c r="C53" s="7" t="s">
        <v>56</v>
      </c>
      <c r="D53" s="8" t="s">
        <v>144</v>
      </c>
      <c r="E53" s="8" t="s">
        <v>50</v>
      </c>
      <c r="F53" s="8" t="s">
        <v>51</v>
      </c>
      <c r="G53" s="8" t="s">
        <v>32</v>
      </c>
      <c r="H53" s="8"/>
      <c r="I53" s="8"/>
      <c r="J53" s="7" t="s">
        <v>90</v>
      </c>
    </row>
    <row r="54" spans="1:10" ht="28" x14ac:dyDescent="0.35">
      <c r="A54" s="7" t="s">
        <v>145</v>
      </c>
      <c r="B54" s="7" t="s">
        <v>88</v>
      </c>
      <c r="C54" s="7" t="s">
        <v>56</v>
      </c>
      <c r="D54" s="8" t="s">
        <v>146</v>
      </c>
      <c r="E54" s="8" t="s">
        <v>50</v>
      </c>
      <c r="F54" s="8" t="s">
        <v>51</v>
      </c>
      <c r="G54" s="8" t="s">
        <v>32</v>
      </c>
      <c r="H54" s="8"/>
      <c r="I54" s="8"/>
      <c r="J54" s="7" t="s">
        <v>90</v>
      </c>
    </row>
    <row r="55" spans="1:10" ht="28" x14ac:dyDescent="0.35">
      <c r="A55" s="7" t="s">
        <v>147</v>
      </c>
      <c r="B55" s="7" t="s">
        <v>88</v>
      </c>
      <c r="C55" s="7" t="s">
        <v>56</v>
      </c>
      <c r="D55" s="8" t="s">
        <v>148</v>
      </c>
      <c r="E55" s="8" t="s">
        <v>50</v>
      </c>
      <c r="F55" s="8" t="s">
        <v>51</v>
      </c>
      <c r="G55" s="8" t="s">
        <v>32</v>
      </c>
      <c r="H55" s="8"/>
      <c r="I55" s="8"/>
      <c r="J55" s="7" t="s">
        <v>90</v>
      </c>
    </row>
    <row r="56" spans="1:10" ht="28" x14ac:dyDescent="0.35">
      <c r="A56" s="7" t="s">
        <v>149</v>
      </c>
      <c r="B56" s="7" t="s">
        <v>88</v>
      </c>
      <c r="C56" s="7" t="s">
        <v>56</v>
      </c>
      <c r="D56" s="8" t="s">
        <v>150</v>
      </c>
      <c r="E56" s="8" t="s">
        <v>74</v>
      </c>
      <c r="F56" s="8" t="s">
        <v>51</v>
      </c>
      <c r="G56" s="8" t="s">
        <v>32</v>
      </c>
      <c r="H56" s="8"/>
      <c r="I56" s="8"/>
      <c r="J56" s="7" t="s">
        <v>90</v>
      </c>
    </row>
    <row r="57" spans="1:10" ht="56" x14ac:dyDescent="0.35">
      <c r="A57" s="7" t="s">
        <v>151</v>
      </c>
      <c r="B57" s="7" t="s">
        <v>88</v>
      </c>
      <c r="C57" s="7" t="s">
        <v>67</v>
      </c>
      <c r="D57" s="8" t="s">
        <v>152</v>
      </c>
      <c r="E57" s="8" t="s">
        <v>69</v>
      </c>
      <c r="F57" s="8" t="s">
        <v>51</v>
      </c>
      <c r="G57" s="8" t="s">
        <v>32</v>
      </c>
      <c r="H57" s="8"/>
      <c r="I57" s="8"/>
      <c r="J57" s="7" t="s">
        <v>90</v>
      </c>
    </row>
    <row r="58" spans="1:10" ht="42" x14ac:dyDescent="0.35">
      <c r="A58" s="7" t="s">
        <v>153</v>
      </c>
      <c r="B58" s="7" t="s">
        <v>88</v>
      </c>
      <c r="C58" s="7" t="s">
        <v>67</v>
      </c>
      <c r="D58" s="8" t="s">
        <v>154</v>
      </c>
      <c r="E58" s="8" t="s">
        <v>69</v>
      </c>
      <c r="F58" s="8" t="s">
        <v>51</v>
      </c>
      <c r="G58" s="8" t="s">
        <v>32</v>
      </c>
      <c r="H58" s="8"/>
      <c r="I58" s="8"/>
      <c r="J58" s="7" t="s">
        <v>90</v>
      </c>
    </row>
    <row r="59" spans="1:10" ht="28" x14ac:dyDescent="0.35">
      <c r="A59" s="7" t="s">
        <v>155</v>
      </c>
      <c r="B59" s="7" t="s">
        <v>88</v>
      </c>
      <c r="C59" s="7" t="s">
        <v>67</v>
      </c>
      <c r="D59" s="8" t="s">
        <v>156</v>
      </c>
      <c r="E59" s="8" t="s">
        <v>69</v>
      </c>
      <c r="F59" s="8" t="s">
        <v>51</v>
      </c>
      <c r="G59" s="8" t="s">
        <v>32</v>
      </c>
      <c r="H59" s="8"/>
      <c r="I59" s="8"/>
      <c r="J59" s="7" t="s">
        <v>90</v>
      </c>
    </row>
    <row r="60" spans="1:10" ht="28" x14ac:dyDescent="0.35">
      <c r="A60" s="7" t="s">
        <v>157</v>
      </c>
      <c r="B60" s="7" t="s">
        <v>88</v>
      </c>
      <c r="C60" s="7" t="s">
        <v>67</v>
      </c>
      <c r="D60" s="8" t="s">
        <v>158</v>
      </c>
      <c r="E60" s="8" t="s">
        <v>69</v>
      </c>
      <c r="F60" s="8" t="s">
        <v>51</v>
      </c>
      <c r="G60" s="8" t="s">
        <v>32</v>
      </c>
      <c r="H60" s="8"/>
      <c r="I60" s="8"/>
      <c r="J60" s="7" t="s">
        <v>90</v>
      </c>
    </row>
    <row r="61" spans="1:10" ht="42" x14ac:dyDescent="0.35">
      <c r="A61" s="7" t="s">
        <v>159</v>
      </c>
      <c r="B61" s="7" t="s">
        <v>88</v>
      </c>
      <c r="C61" s="7" t="s">
        <v>67</v>
      </c>
      <c r="D61" s="8" t="s">
        <v>160</v>
      </c>
      <c r="E61" s="8" t="s">
        <v>69</v>
      </c>
      <c r="F61" s="8" t="s">
        <v>51</v>
      </c>
      <c r="G61" s="8" t="s">
        <v>32</v>
      </c>
      <c r="H61" s="8"/>
      <c r="I61" s="8"/>
      <c r="J61" s="7" t="s">
        <v>90</v>
      </c>
    </row>
    <row r="62" spans="1:10" ht="28" x14ac:dyDescent="0.35">
      <c r="A62" s="7" t="s">
        <v>161</v>
      </c>
      <c r="B62" s="7" t="s">
        <v>88</v>
      </c>
      <c r="C62" s="7" t="s">
        <v>67</v>
      </c>
      <c r="D62" s="8" t="s">
        <v>162</v>
      </c>
      <c r="E62" s="8" t="s">
        <v>69</v>
      </c>
      <c r="F62" s="8" t="s">
        <v>51</v>
      </c>
      <c r="G62" s="8" t="s">
        <v>32</v>
      </c>
      <c r="H62" s="8"/>
      <c r="I62" s="8"/>
      <c r="J62" s="7" t="s">
        <v>90</v>
      </c>
    </row>
    <row r="63" spans="1:10" ht="42" x14ac:dyDescent="0.35">
      <c r="A63" s="7" t="s">
        <v>163</v>
      </c>
      <c r="B63" s="7" t="s">
        <v>88</v>
      </c>
      <c r="C63" s="7" t="s">
        <v>67</v>
      </c>
      <c r="D63" s="8" t="s">
        <v>164</v>
      </c>
      <c r="E63" s="8" t="s">
        <v>69</v>
      </c>
      <c r="F63" s="8" t="s">
        <v>51</v>
      </c>
      <c r="G63" s="8" t="s">
        <v>32</v>
      </c>
      <c r="H63" s="8"/>
      <c r="I63" s="8"/>
      <c r="J63" s="7" t="s">
        <v>90</v>
      </c>
    </row>
    <row r="64" spans="1:10" ht="42" x14ac:dyDescent="0.35">
      <c r="A64" s="7" t="s">
        <v>165</v>
      </c>
      <c r="B64" s="7" t="s">
        <v>88</v>
      </c>
      <c r="C64" s="7" t="s">
        <v>67</v>
      </c>
      <c r="D64" s="8" t="s">
        <v>166</v>
      </c>
      <c r="E64" s="8" t="s">
        <v>69</v>
      </c>
      <c r="F64" s="8" t="s">
        <v>51</v>
      </c>
      <c r="G64" s="8" t="s">
        <v>32</v>
      </c>
      <c r="H64" s="8"/>
      <c r="I64" s="8"/>
      <c r="J64" s="7" t="s">
        <v>90</v>
      </c>
    </row>
    <row r="65" spans="1:10" ht="42" x14ac:dyDescent="0.35">
      <c r="A65" s="7" t="s">
        <v>167</v>
      </c>
      <c r="B65" s="7" t="s">
        <v>88</v>
      </c>
      <c r="C65" s="7" t="s">
        <v>67</v>
      </c>
      <c r="D65" s="8" t="s">
        <v>168</v>
      </c>
      <c r="E65" s="8" t="s">
        <v>69</v>
      </c>
      <c r="F65" s="8" t="s">
        <v>51</v>
      </c>
      <c r="G65" s="8" t="s">
        <v>32</v>
      </c>
      <c r="H65" s="8"/>
      <c r="I65" s="8"/>
      <c r="J65" s="7" t="s">
        <v>90</v>
      </c>
    </row>
    <row r="66" spans="1:10" ht="70" x14ac:dyDescent="0.35">
      <c r="A66" s="7" t="s">
        <v>169</v>
      </c>
      <c r="B66" s="7" t="s">
        <v>88</v>
      </c>
      <c r="C66" s="7" t="s">
        <v>67</v>
      </c>
      <c r="D66" s="8" t="s">
        <v>170</v>
      </c>
      <c r="E66" s="8" t="s">
        <v>69</v>
      </c>
      <c r="F66" s="8" t="s">
        <v>51</v>
      </c>
      <c r="G66" s="8" t="s">
        <v>32</v>
      </c>
      <c r="H66" s="8"/>
      <c r="I66" s="8"/>
      <c r="J66" s="7" t="s">
        <v>90</v>
      </c>
    </row>
    <row r="67" spans="1:10" ht="28" x14ac:dyDescent="0.35">
      <c r="A67" s="7" t="s">
        <v>171</v>
      </c>
      <c r="B67" s="7" t="s">
        <v>88</v>
      </c>
      <c r="C67" s="7" t="s">
        <v>58</v>
      </c>
      <c r="D67" s="8" t="s">
        <v>172</v>
      </c>
      <c r="E67" s="8" t="s">
        <v>50</v>
      </c>
      <c r="F67" s="8" t="s">
        <v>51</v>
      </c>
      <c r="G67" s="8" t="s">
        <v>32</v>
      </c>
      <c r="H67" s="8"/>
      <c r="I67" s="8"/>
      <c r="J67" s="7" t="s">
        <v>90</v>
      </c>
    </row>
    <row r="68" spans="1:10" ht="28" x14ac:dyDescent="0.35">
      <c r="A68" s="7" t="s">
        <v>173</v>
      </c>
      <c r="B68" s="7" t="s">
        <v>88</v>
      </c>
      <c r="C68" s="7" t="s">
        <v>58</v>
      </c>
      <c r="D68" s="8" t="s">
        <v>174</v>
      </c>
      <c r="E68" s="8" t="s">
        <v>74</v>
      </c>
      <c r="F68" s="8" t="s">
        <v>51</v>
      </c>
      <c r="G68" s="8" t="s">
        <v>32</v>
      </c>
      <c r="H68" s="8"/>
      <c r="I68" s="8"/>
      <c r="J68" s="7" t="s">
        <v>90</v>
      </c>
    </row>
    <row r="69" spans="1:10" ht="28" x14ac:dyDescent="0.35">
      <c r="A69" s="7" t="s">
        <v>175</v>
      </c>
      <c r="B69" s="7" t="s">
        <v>88</v>
      </c>
      <c r="C69" s="7" t="s">
        <v>58</v>
      </c>
      <c r="D69" s="8" t="s">
        <v>176</v>
      </c>
      <c r="E69" s="8" t="s">
        <v>74</v>
      </c>
      <c r="F69" s="8" t="s">
        <v>51</v>
      </c>
      <c r="G69" s="8" t="s">
        <v>32</v>
      </c>
      <c r="H69" s="8"/>
      <c r="I69" s="8"/>
      <c r="J69" s="7" t="s">
        <v>90</v>
      </c>
    </row>
    <row r="70" spans="1:10" ht="28" x14ac:dyDescent="0.35">
      <c r="A70" s="7" t="s">
        <v>177</v>
      </c>
      <c r="B70" s="7" t="s">
        <v>88</v>
      </c>
      <c r="C70" s="7" t="s">
        <v>58</v>
      </c>
      <c r="D70" s="8" t="s">
        <v>178</v>
      </c>
      <c r="E70" s="8" t="s">
        <v>74</v>
      </c>
      <c r="F70" s="8" t="s">
        <v>51</v>
      </c>
      <c r="G70" s="8" t="s">
        <v>32</v>
      </c>
      <c r="H70" s="8"/>
      <c r="I70" s="8"/>
      <c r="J70" s="7" t="s">
        <v>90</v>
      </c>
    </row>
    <row r="71" spans="1:10" ht="28" x14ac:dyDescent="0.35">
      <c r="A71" s="7" t="s">
        <v>179</v>
      </c>
      <c r="B71" s="7" t="s">
        <v>88</v>
      </c>
      <c r="C71" s="7" t="s">
        <v>58</v>
      </c>
      <c r="D71" s="8" t="s">
        <v>180</v>
      </c>
      <c r="E71" s="8" t="s">
        <v>74</v>
      </c>
      <c r="F71" s="8" t="s">
        <v>51</v>
      </c>
      <c r="G71" s="8" t="s">
        <v>32</v>
      </c>
      <c r="H71" s="8"/>
      <c r="I71" s="8"/>
      <c r="J71" s="7" t="s">
        <v>90</v>
      </c>
    </row>
    <row r="72" spans="1:10" ht="28" x14ac:dyDescent="0.35">
      <c r="A72" s="7" t="s">
        <v>181</v>
      </c>
      <c r="B72" s="7" t="s">
        <v>88</v>
      </c>
      <c r="C72" s="7" t="s">
        <v>58</v>
      </c>
      <c r="D72" s="8" t="s">
        <v>182</v>
      </c>
      <c r="E72" s="8" t="s">
        <v>74</v>
      </c>
      <c r="F72" s="8" t="s">
        <v>51</v>
      </c>
      <c r="G72" s="8" t="s">
        <v>32</v>
      </c>
      <c r="H72" s="8"/>
      <c r="I72" s="8"/>
      <c r="J72" s="7" t="s">
        <v>90</v>
      </c>
    </row>
    <row r="73" spans="1:10" ht="28" x14ac:dyDescent="0.35">
      <c r="A73" s="7" t="s">
        <v>183</v>
      </c>
      <c r="B73" s="7" t="s">
        <v>88</v>
      </c>
      <c r="C73" s="7" t="s">
        <v>58</v>
      </c>
      <c r="D73" s="8" t="s">
        <v>184</v>
      </c>
      <c r="E73" s="8" t="s">
        <v>74</v>
      </c>
      <c r="F73" s="8" t="s">
        <v>51</v>
      </c>
      <c r="G73" s="8" t="s">
        <v>32</v>
      </c>
      <c r="H73" s="8"/>
      <c r="I73" s="8"/>
      <c r="J73" s="7" t="s">
        <v>90</v>
      </c>
    </row>
    <row r="74" spans="1:10" ht="28" x14ac:dyDescent="0.35">
      <c r="A74" s="7" t="s">
        <v>185</v>
      </c>
      <c r="B74" s="7" t="s">
        <v>88</v>
      </c>
      <c r="C74" s="7" t="s">
        <v>58</v>
      </c>
      <c r="D74" s="8" t="s">
        <v>186</v>
      </c>
      <c r="E74" s="8" t="s">
        <v>74</v>
      </c>
      <c r="F74" s="8" t="s">
        <v>51</v>
      </c>
      <c r="G74" s="8" t="s">
        <v>32</v>
      </c>
      <c r="H74" s="8"/>
      <c r="I74" s="8"/>
      <c r="J74" s="7" t="s">
        <v>90</v>
      </c>
    </row>
    <row r="75" spans="1:10" ht="28" x14ac:dyDescent="0.35">
      <c r="A75" s="7" t="s">
        <v>187</v>
      </c>
      <c r="B75" s="7" t="s">
        <v>88</v>
      </c>
      <c r="C75" s="7" t="s">
        <v>58</v>
      </c>
      <c r="D75" s="8" t="s">
        <v>188</v>
      </c>
      <c r="E75" s="8" t="s">
        <v>50</v>
      </c>
      <c r="F75" s="8" t="s">
        <v>51</v>
      </c>
      <c r="G75" s="8" t="s">
        <v>32</v>
      </c>
      <c r="H75" s="8"/>
      <c r="I75" s="8"/>
      <c r="J75" s="7" t="s">
        <v>90</v>
      </c>
    </row>
    <row r="76" spans="1:10" ht="28" x14ac:dyDescent="0.35">
      <c r="A76" s="7" t="s">
        <v>189</v>
      </c>
      <c r="B76" s="7" t="s">
        <v>88</v>
      </c>
      <c r="C76" s="7" t="s">
        <v>58</v>
      </c>
      <c r="D76" s="8" t="s">
        <v>190</v>
      </c>
      <c r="E76" s="8" t="s">
        <v>50</v>
      </c>
      <c r="F76" s="8" t="s">
        <v>51</v>
      </c>
      <c r="G76" s="8" t="s">
        <v>32</v>
      </c>
      <c r="H76" s="8"/>
      <c r="I76" s="8"/>
      <c r="J76" s="7" t="s">
        <v>90</v>
      </c>
    </row>
    <row r="77" spans="1:10" ht="28" x14ac:dyDescent="0.35">
      <c r="A77" s="7" t="s">
        <v>191</v>
      </c>
      <c r="B77" s="7" t="s">
        <v>88</v>
      </c>
      <c r="C77" s="7" t="s">
        <v>58</v>
      </c>
      <c r="D77" s="8" t="s">
        <v>192</v>
      </c>
      <c r="E77" s="8" t="s">
        <v>69</v>
      </c>
      <c r="F77" s="8" t="s">
        <v>51</v>
      </c>
      <c r="G77" s="8" t="s">
        <v>32</v>
      </c>
      <c r="H77" s="8"/>
      <c r="I77" s="8"/>
      <c r="J77" s="7" t="s">
        <v>90</v>
      </c>
    </row>
    <row r="78" spans="1:10" ht="28" x14ac:dyDescent="0.35">
      <c r="A78" s="7" t="s">
        <v>193</v>
      </c>
      <c r="B78" s="7" t="s">
        <v>88</v>
      </c>
      <c r="C78" s="7" t="s">
        <v>60</v>
      </c>
      <c r="D78" s="8" t="s">
        <v>194</v>
      </c>
      <c r="E78" s="8" t="s">
        <v>62</v>
      </c>
      <c r="F78" s="8" t="s">
        <v>31</v>
      </c>
      <c r="G78" s="8" t="s">
        <v>32</v>
      </c>
      <c r="H78" s="8"/>
      <c r="I78" s="8"/>
      <c r="J78" s="7" t="s">
        <v>90</v>
      </c>
    </row>
    <row r="79" spans="1:10" ht="28" x14ac:dyDescent="0.35">
      <c r="A79" s="7" t="s">
        <v>195</v>
      </c>
      <c r="B79" s="7" t="s">
        <v>88</v>
      </c>
      <c r="C79" s="7" t="s">
        <v>60</v>
      </c>
      <c r="D79" s="8" t="s">
        <v>196</v>
      </c>
      <c r="E79" s="8" t="s">
        <v>62</v>
      </c>
      <c r="F79" s="8" t="s">
        <v>31</v>
      </c>
      <c r="G79" s="8" t="s">
        <v>32</v>
      </c>
      <c r="H79" s="8"/>
      <c r="I79" s="8"/>
      <c r="J79" s="7" t="s">
        <v>90</v>
      </c>
    </row>
    <row r="80" spans="1:10" ht="28" x14ac:dyDescent="0.35">
      <c r="A80" s="7" t="s">
        <v>197</v>
      </c>
      <c r="B80" s="7" t="s">
        <v>88</v>
      </c>
      <c r="C80" s="7" t="s">
        <v>60</v>
      </c>
      <c r="D80" s="8" t="s">
        <v>198</v>
      </c>
      <c r="E80" s="8" t="s">
        <v>62</v>
      </c>
      <c r="F80" s="8" t="s">
        <v>31</v>
      </c>
      <c r="G80" s="8" t="s">
        <v>32</v>
      </c>
      <c r="H80" s="8"/>
      <c r="I80" s="8"/>
      <c r="J80" s="7" t="s">
        <v>90</v>
      </c>
    </row>
    <row r="81" spans="1:10" ht="28" x14ac:dyDescent="0.35">
      <c r="A81" s="7" t="s">
        <v>199</v>
      </c>
      <c r="B81" s="7" t="s">
        <v>88</v>
      </c>
      <c r="C81" s="7" t="s">
        <v>60</v>
      </c>
      <c r="D81" s="8" t="s">
        <v>200</v>
      </c>
      <c r="E81" s="8" t="s">
        <v>62</v>
      </c>
      <c r="F81" s="8" t="s">
        <v>31</v>
      </c>
      <c r="G81" s="8" t="s">
        <v>32</v>
      </c>
      <c r="H81" s="8"/>
      <c r="I81" s="8"/>
      <c r="J81" s="7" t="s">
        <v>90</v>
      </c>
    </row>
    <row r="82" spans="1:10" ht="28" x14ac:dyDescent="0.35">
      <c r="A82" s="7" t="s">
        <v>201</v>
      </c>
      <c r="B82" s="7" t="s">
        <v>88</v>
      </c>
      <c r="C82" s="7" t="s">
        <v>60</v>
      </c>
      <c r="D82" s="8" t="s">
        <v>202</v>
      </c>
      <c r="E82" s="8" t="s">
        <v>62</v>
      </c>
      <c r="F82" s="8" t="s">
        <v>31</v>
      </c>
      <c r="G82" s="8" t="s">
        <v>32</v>
      </c>
      <c r="H82" s="8"/>
      <c r="I82" s="8"/>
      <c r="J82" s="7" t="s">
        <v>90</v>
      </c>
    </row>
    <row r="83" spans="1:10" ht="28" x14ac:dyDescent="0.35">
      <c r="A83" s="7" t="s">
        <v>203</v>
      </c>
      <c r="B83" s="7" t="s">
        <v>88</v>
      </c>
      <c r="C83" s="7" t="s">
        <v>60</v>
      </c>
      <c r="D83" s="8" t="s">
        <v>204</v>
      </c>
      <c r="E83" s="8" t="s">
        <v>62</v>
      </c>
      <c r="F83" s="8" t="s">
        <v>31</v>
      </c>
      <c r="G83" s="8" t="s">
        <v>32</v>
      </c>
      <c r="H83" s="8"/>
      <c r="I83" s="8"/>
      <c r="J83" s="7" t="s">
        <v>90</v>
      </c>
    </row>
    <row r="84" spans="1:10" ht="28" x14ac:dyDescent="0.35">
      <c r="A84" s="7" t="s">
        <v>205</v>
      </c>
      <c r="B84" s="7" t="s">
        <v>88</v>
      </c>
      <c r="C84" s="7" t="s">
        <v>60</v>
      </c>
      <c r="D84" s="8" t="s">
        <v>206</v>
      </c>
      <c r="E84" s="8" t="s">
        <v>62</v>
      </c>
      <c r="F84" s="8" t="s">
        <v>31</v>
      </c>
      <c r="G84" s="8" t="s">
        <v>32</v>
      </c>
      <c r="H84" s="8"/>
      <c r="I84" s="8"/>
      <c r="J84" s="7" t="s">
        <v>90</v>
      </c>
    </row>
    <row r="85" spans="1:10" ht="28" x14ac:dyDescent="0.35">
      <c r="A85" s="7" t="s">
        <v>207</v>
      </c>
      <c r="B85" s="7" t="s">
        <v>88</v>
      </c>
      <c r="C85" s="7" t="s">
        <v>60</v>
      </c>
      <c r="D85" s="8" t="s">
        <v>208</v>
      </c>
      <c r="E85" s="8" t="s">
        <v>62</v>
      </c>
      <c r="F85" s="8" t="s">
        <v>31</v>
      </c>
      <c r="G85" s="8" t="s">
        <v>32</v>
      </c>
      <c r="H85" s="8"/>
      <c r="I85" s="8"/>
      <c r="J85" s="7" t="s">
        <v>90</v>
      </c>
    </row>
    <row r="86" spans="1:10" ht="28" x14ac:dyDescent="0.35">
      <c r="A86" s="7" t="s">
        <v>209</v>
      </c>
      <c r="B86" s="7" t="s">
        <v>88</v>
      </c>
      <c r="C86" s="7" t="s">
        <v>60</v>
      </c>
      <c r="D86" s="8" t="s">
        <v>210</v>
      </c>
      <c r="E86" s="8" t="s">
        <v>62</v>
      </c>
      <c r="F86" s="8" t="s">
        <v>31</v>
      </c>
      <c r="G86" s="8" t="s">
        <v>32</v>
      </c>
      <c r="H86" s="8"/>
      <c r="I86" s="8"/>
      <c r="J86" s="7" t="s">
        <v>90</v>
      </c>
    </row>
    <row r="87" spans="1:10" ht="28" x14ac:dyDescent="0.35">
      <c r="A87" s="7" t="s">
        <v>211</v>
      </c>
      <c r="B87" s="7" t="s">
        <v>88</v>
      </c>
      <c r="C87" s="7" t="s">
        <v>63</v>
      </c>
      <c r="D87" s="8" t="s">
        <v>212</v>
      </c>
      <c r="E87" s="8" t="s">
        <v>50</v>
      </c>
      <c r="F87" s="8" t="s">
        <v>51</v>
      </c>
      <c r="G87" s="8" t="s">
        <v>32</v>
      </c>
      <c r="H87" s="8"/>
      <c r="I87" s="8"/>
      <c r="J87" s="7" t="s">
        <v>90</v>
      </c>
    </row>
    <row r="88" spans="1:10" ht="28" x14ac:dyDescent="0.35">
      <c r="A88" s="7" t="s">
        <v>213</v>
      </c>
      <c r="B88" s="7" t="s">
        <v>88</v>
      </c>
      <c r="C88" s="7" t="s">
        <v>63</v>
      </c>
      <c r="D88" s="8" t="s">
        <v>214</v>
      </c>
      <c r="E88" s="8" t="s">
        <v>74</v>
      </c>
      <c r="F88" s="8" t="s">
        <v>51</v>
      </c>
      <c r="G88" s="8" t="s">
        <v>32</v>
      </c>
      <c r="H88" s="8"/>
      <c r="I88" s="8"/>
      <c r="J88" s="7" t="s">
        <v>90</v>
      </c>
    </row>
    <row r="89" spans="1:10" ht="28" x14ac:dyDescent="0.35">
      <c r="A89" s="7" t="s">
        <v>215</v>
      </c>
      <c r="B89" s="7" t="s">
        <v>88</v>
      </c>
      <c r="C89" s="7" t="s">
        <v>63</v>
      </c>
      <c r="D89" s="8" t="s">
        <v>216</v>
      </c>
      <c r="E89" s="8" t="s">
        <v>74</v>
      </c>
      <c r="F89" s="8" t="s">
        <v>51</v>
      </c>
      <c r="G89" s="8" t="s">
        <v>32</v>
      </c>
      <c r="H89" s="8"/>
      <c r="I89" s="8"/>
      <c r="J89" s="7" t="s">
        <v>90</v>
      </c>
    </row>
    <row r="90" spans="1:10" ht="28" x14ac:dyDescent="0.35">
      <c r="A90" s="7" t="s">
        <v>217</v>
      </c>
      <c r="B90" s="7" t="s">
        <v>88</v>
      </c>
      <c r="C90" s="7" t="s">
        <v>63</v>
      </c>
      <c r="D90" s="8" t="s">
        <v>218</v>
      </c>
      <c r="E90" s="8" t="s">
        <v>74</v>
      </c>
      <c r="F90" s="8" t="s">
        <v>51</v>
      </c>
      <c r="G90" s="8" t="s">
        <v>32</v>
      </c>
      <c r="H90" s="8"/>
      <c r="I90" s="8"/>
      <c r="J90" s="7" t="s">
        <v>90</v>
      </c>
    </row>
    <row r="91" spans="1:10" ht="28" x14ac:dyDescent="0.35">
      <c r="A91" s="7" t="s">
        <v>219</v>
      </c>
      <c r="B91" s="7" t="s">
        <v>88</v>
      </c>
      <c r="C91" s="7" t="s">
        <v>63</v>
      </c>
      <c r="D91" s="8" t="s">
        <v>220</v>
      </c>
      <c r="E91" s="8" t="s">
        <v>74</v>
      </c>
      <c r="F91" s="8" t="s">
        <v>51</v>
      </c>
      <c r="G91" s="8" t="s">
        <v>32</v>
      </c>
      <c r="H91" s="8"/>
      <c r="I91" s="8"/>
      <c r="J91" s="7" t="s">
        <v>90</v>
      </c>
    </row>
    <row r="92" spans="1:10" ht="28" x14ac:dyDescent="0.35">
      <c r="A92" s="7" t="s">
        <v>221</v>
      </c>
      <c r="B92" s="7" t="s">
        <v>88</v>
      </c>
      <c r="C92" s="7" t="s">
        <v>63</v>
      </c>
      <c r="D92" s="8" t="s">
        <v>222</v>
      </c>
      <c r="E92" s="8" t="s">
        <v>50</v>
      </c>
      <c r="F92" s="8" t="s">
        <v>51</v>
      </c>
      <c r="G92" s="8" t="s">
        <v>32</v>
      </c>
      <c r="H92" s="8"/>
      <c r="I92" s="8"/>
      <c r="J92" s="7" t="s">
        <v>90</v>
      </c>
    </row>
    <row r="93" spans="1:10" ht="28" x14ac:dyDescent="0.35">
      <c r="A93" s="7" t="s">
        <v>223</v>
      </c>
      <c r="B93" s="7" t="s">
        <v>88</v>
      </c>
      <c r="C93" s="7" t="s">
        <v>63</v>
      </c>
      <c r="D93" s="8" t="s">
        <v>224</v>
      </c>
      <c r="E93" s="8" t="s">
        <v>74</v>
      </c>
      <c r="F93" s="8" t="s">
        <v>51</v>
      </c>
      <c r="G93" s="8" t="s">
        <v>32</v>
      </c>
      <c r="H93" s="8"/>
      <c r="I93" s="8"/>
      <c r="J93" s="7" t="s">
        <v>90</v>
      </c>
    </row>
    <row r="94" spans="1:10" ht="28" x14ac:dyDescent="0.35">
      <c r="A94" s="7" t="s">
        <v>225</v>
      </c>
      <c r="B94" s="7" t="s">
        <v>88</v>
      </c>
      <c r="C94" s="7" t="s">
        <v>63</v>
      </c>
      <c r="D94" s="8" t="s">
        <v>226</v>
      </c>
      <c r="E94" s="8" t="s">
        <v>74</v>
      </c>
      <c r="F94" s="8" t="s">
        <v>51</v>
      </c>
      <c r="G94" s="8" t="s">
        <v>32</v>
      </c>
      <c r="H94" s="8"/>
      <c r="I94" s="8"/>
      <c r="J94" s="7" t="s">
        <v>90</v>
      </c>
    </row>
    <row r="95" spans="1:10" ht="28" x14ac:dyDescent="0.35">
      <c r="A95" s="7" t="s">
        <v>227</v>
      </c>
      <c r="B95" s="7" t="s">
        <v>88</v>
      </c>
      <c r="C95" s="7" t="s">
        <v>65</v>
      </c>
      <c r="D95" s="8" t="s">
        <v>228</v>
      </c>
      <c r="E95" s="8" t="s">
        <v>50</v>
      </c>
      <c r="F95" s="8" t="s">
        <v>51</v>
      </c>
      <c r="G95" s="8" t="s">
        <v>32</v>
      </c>
      <c r="H95" s="8"/>
      <c r="I95" s="8"/>
      <c r="J95" s="7" t="s">
        <v>90</v>
      </c>
    </row>
    <row r="96" spans="1:10" ht="28" x14ac:dyDescent="0.35">
      <c r="A96" s="7" t="s">
        <v>229</v>
      </c>
      <c r="B96" s="7" t="s">
        <v>88</v>
      </c>
      <c r="C96" s="7" t="s">
        <v>65</v>
      </c>
      <c r="D96" s="8" t="s">
        <v>230</v>
      </c>
      <c r="E96" s="8" t="s">
        <v>50</v>
      </c>
      <c r="F96" s="8" t="s">
        <v>51</v>
      </c>
      <c r="G96" s="8" t="s">
        <v>32</v>
      </c>
      <c r="H96" s="8"/>
      <c r="I96" s="8"/>
      <c r="J96" s="7" t="s">
        <v>90</v>
      </c>
    </row>
    <row r="97" spans="1:10" ht="28" x14ac:dyDescent="0.35">
      <c r="A97" s="7" t="s">
        <v>231</v>
      </c>
      <c r="B97" s="7" t="s">
        <v>88</v>
      </c>
      <c r="C97" s="7" t="s">
        <v>65</v>
      </c>
      <c r="D97" s="8" t="s">
        <v>232</v>
      </c>
      <c r="E97" s="8" t="s">
        <v>50</v>
      </c>
      <c r="F97" s="8" t="s">
        <v>51</v>
      </c>
      <c r="G97" s="8" t="s">
        <v>32</v>
      </c>
      <c r="H97" s="8"/>
      <c r="I97" s="8"/>
      <c r="J97" s="7" t="s">
        <v>90</v>
      </c>
    </row>
    <row r="98" spans="1:10" ht="28" x14ac:dyDescent="0.35">
      <c r="A98" s="7" t="s">
        <v>233</v>
      </c>
      <c r="B98" s="7" t="s">
        <v>88</v>
      </c>
      <c r="C98" s="7" t="s">
        <v>65</v>
      </c>
      <c r="D98" s="8" t="s">
        <v>234</v>
      </c>
      <c r="E98" s="8" t="s">
        <v>50</v>
      </c>
      <c r="F98" s="8" t="s">
        <v>51</v>
      </c>
      <c r="G98" s="8" t="s">
        <v>32</v>
      </c>
      <c r="H98" s="8"/>
      <c r="I98" s="8"/>
      <c r="J98" s="7" t="s">
        <v>90</v>
      </c>
    </row>
    <row r="99" spans="1:10" ht="28" x14ac:dyDescent="0.35">
      <c r="A99" s="7" t="s">
        <v>235</v>
      </c>
      <c r="B99" s="7" t="s">
        <v>88</v>
      </c>
      <c r="C99" s="7" t="s">
        <v>65</v>
      </c>
      <c r="D99" s="8" t="s">
        <v>236</v>
      </c>
      <c r="E99" s="8" t="s">
        <v>50</v>
      </c>
      <c r="F99" s="8" t="s">
        <v>51</v>
      </c>
      <c r="G99" s="8" t="s">
        <v>32</v>
      </c>
      <c r="H99" s="8"/>
      <c r="I99" s="8"/>
      <c r="J99" s="7" t="s">
        <v>90</v>
      </c>
    </row>
    <row r="100" spans="1:10" ht="28" x14ac:dyDescent="0.35">
      <c r="A100" s="7" t="s">
        <v>237</v>
      </c>
      <c r="B100" s="7" t="s">
        <v>88</v>
      </c>
      <c r="C100" s="7" t="s">
        <v>65</v>
      </c>
      <c r="D100" s="8" t="s">
        <v>238</v>
      </c>
      <c r="E100" s="8" t="s">
        <v>50</v>
      </c>
      <c r="F100" s="8" t="s">
        <v>51</v>
      </c>
      <c r="G100" s="8" t="s">
        <v>32</v>
      </c>
      <c r="H100" s="8"/>
      <c r="I100" s="8"/>
      <c r="J100" s="7" t="s">
        <v>90</v>
      </c>
    </row>
    <row r="101" spans="1:10" ht="42" x14ac:dyDescent="0.35">
      <c r="A101" s="7" t="s">
        <v>239</v>
      </c>
      <c r="B101" s="7" t="s">
        <v>88</v>
      </c>
      <c r="C101" s="7" t="s">
        <v>67</v>
      </c>
      <c r="D101" s="8" t="s">
        <v>240</v>
      </c>
      <c r="E101" s="8" t="s">
        <v>69</v>
      </c>
      <c r="F101" s="8" t="s">
        <v>51</v>
      </c>
      <c r="G101" s="8" t="s">
        <v>32</v>
      </c>
      <c r="H101" s="8"/>
      <c r="I101" s="8"/>
      <c r="J101" s="7" t="s">
        <v>90</v>
      </c>
    </row>
    <row r="102" spans="1:10" ht="42" x14ac:dyDescent="0.35">
      <c r="A102" s="7" t="s">
        <v>241</v>
      </c>
      <c r="B102" s="7" t="s">
        <v>88</v>
      </c>
      <c r="C102" s="7" t="s">
        <v>67</v>
      </c>
      <c r="D102" s="8" t="s">
        <v>242</v>
      </c>
      <c r="E102" s="8" t="s">
        <v>69</v>
      </c>
      <c r="F102" s="8" t="s">
        <v>51</v>
      </c>
      <c r="G102" s="8" t="s">
        <v>32</v>
      </c>
      <c r="H102" s="8"/>
      <c r="I102" s="8"/>
      <c r="J102" s="7" t="s">
        <v>90</v>
      </c>
    </row>
    <row r="103" spans="1:10" ht="28" x14ac:dyDescent="0.35">
      <c r="A103" s="7" t="s">
        <v>243</v>
      </c>
      <c r="B103" s="7" t="s">
        <v>88</v>
      </c>
      <c r="C103" s="7" t="s">
        <v>65</v>
      </c>
      <c r="D103" s="8" t="s">
        <v>244</v>
      </c>
      <c r="E103" s="8" t="s">
        <v>50</v>
      </c>
      <c r="F103" s="8" t="s">
        <v>51</v>
      </c>
      <c r="G103" s="8" t="s">
        <v>32</v>
      </c>
      <c r="H103" s="8"/>
      <c r="I103" s="8"/>
      <c r="J103" s="7" t="s">
        <v>90</v>
      </c>
    </row>
    <row r="104" spans="1:10" ht="28" x14ac:dyDescent="0.35">
      <c r="A104" s="7" t="s">
        <v>245</v>
      </c>
      <c r="B104" s="7" t="s">
        <v>246</v>
      </c>
      <c r="C104" s="7" t="s">
        <v>54</v>
      </c>
      <c r="D104" s="8" t="s">
        <v>247</v>
      </c>
      <c r="E104" s="8" t="s">
        <v>50</v>
      </c>
      <c r="F104" s="8" t="s">
        <v>51</v>
      </c>
      <c r="G104" s="8" t="s">
        <v>32</v>
      </c>
      <c r="H104" s="8"/>
      <c r="I104" s="8"/>
      <c r="J104" s="7" t="s">
        <v>90</v>
      </c>
    </row>
    <row r="105" spans="1:10" ht="28" x14ac:dyDescent="0.35">
      <c r="A105" s="7" t="s">
        <v>248</v>
      </c>
      <c r="B105" s="7" t="s">
        <v>246</v>
      </c>
      <c r="C105" s="7" t="s">
        <v>54</v>
      </c>
      <c r="D105" s="8" t="s">
        <v>249</v>
      </c>
      <c r="E105" s="8" t="s">
        <v>50</v>
      </c>
      <c r="F105" s="8" t="s">
        <v>51</v>
      </c>
      <c r="G105" s="8" t="s">
        <v>32</v>
      </c>
      <c r="H105" s="8"/>
      <c r="I105" s="8"/>
      <c r="J105" s="7" t="s">
        <v>90</v>
      </c>
    </row>
    <row r="106" spans="1:10" ht="28" x14ac:dyDescent="0.35">
      <c r="A106" s="7" t="s">
        <v>250</v>
      </c>
      <c r="B106" s="7" t="s">
        <v>246</v>
      </c>
      <c r="C106" s="7" t="s">
        <v>54</v>
      </c>
      <c r="D106" s="8" t="s">
        <v>251</v>
      </c>
      <c r="E106" s="8" t="s">
        <v>50</v>
      </c>
      <c r="F106" s="8" t="s">
        <v>51</v>
      </c>
      <c r="G106" s="8" t="s">
        <v>32</v>
      </c>
      <c r="H106" s="8"/>
      <c r="I106" s="8"/>
      <c r="J106" s="7" t="s">
        <v>90</v>
      </c>
    </row>
    <row r="107" spans="1:10" ht="28" x14ac:dyDescent="0.35">
      <c r="A107" s="7" t="s">
        <v>252</v>
      </c>
      <c r="B107" s="7" t="s">
        <v>246</v>
      </c>
      <c r="C107" s="7" t="s">
        <v>54</v>
      </c>
      <c r="D107" s="8" t="s">
        <v>253</v>
      </c>
      <c r="E107" s="8" t="s">
        <v>50</v>
      </c>
      <c r="F107" s="8" t="s">
        <v>51</v>
      </c>
      <c r="G107" s="8" t="s">
        <v>32</v>
      </c>
      <c r="H107" s="8"/>
      <c r="I107" s="8"/>
      <c r="J107" s="7" t="s">
        <v>90</v>
      </c>
    </row>
    <row r="108" spans="1:10" ht="28" x14ac:dyDescent="0.35">
      <c r="A108" s="7" t="s">
        <v>254</v>
      </c>
      <c r="B108" s="7" t="s">
        <v>246</v>
      </c>
      <c r="C108" s="7" t="s">
        <v>54</v>
      </c>
      <c r="D108" s="8" t="s">
        <v>255</v>
      </c>
      <c r="E108" s="8" t="s">
        <v>50</v>
      </c>
      <c r="F108" s="8" t="s">
        <v>51</v>
      </c>
      <c r="G108" s="8" t="s">
        <v>32</v>
      </c>
      <c r="H108" s="8"/>
      <c r="I108" s="8"/>
      <c r="J108" s="7" t="s">
        <v>90</v>
      </c>
    </row>
    <row r="109" spans="1:10" ht="28" x14ac:dyDescent="0.35">
      <c r="A109" s="7" t="s">
        <v>256</v>
      </c>
      <c r="B109" s="7" t="s">
        <v>246</v>
      </c>
      <c r="C109" s="7" t="s">
        <v>54</v>
      </c>
      <c r="D109" s="8" t="s">
        <v>257</v>
      </c>
      <c r="E109" s="8" t="s">
        <v>50</v>
      </c>
      <c r="F109" s="8" t="s">
        <v>51</v>
      </c>
      <c r="G109" s="8" t="s">
        <v>32</v>
      </c>
      <c r="H109" s="8"/>
      <c r="I109" s="8"/>
      <c r="J109" s="7" t="s">
        <v>90</v>
      </c>
    </row>
    <row r="110" spans="1:10" ht="28" x14ac:dyDescent="0.35">
      <c r="A110" s="7" t="s">
        <v>258</v>
      </c>
      <c r="B110" s="7" t="s">
        <v>246</v>
      </c>
      <c r="C110" s="7" t="s">
        <v>56</v>
      </c>
      <c r="D110" s="8" t="s">
        <v>259</v>
      </c>
      <c r="E110" s="8" t="s">
        <v>50</v>
      </c>
      <c r="F110" s="8" t="s">
        <v>51</v>
      </c>
      <c r="G110" s="8" t="s">
        <v>32</v>
      </c>
      <c r="H110" s="8"/>
      <c r="I110" s="8"/>
      <c r="J110" s="7" t="s">
        <v>90</v>
      </c>
    </row>
    <row r="111" spans="1:10" ht="28" x14ac:dyDescent="0.35">
      <c r="A111" s="7" t="s">
        <v>260</v>
      </c>
      <c r="B111" s="7" t="s">
        <v>246</v>
      </c>
      <c r="C111" s="7" t="s">
        <v>56</v>
      </c>
      <c r="D111" s="8" t="s">
        <v>261</v>
      </c>
      <c r="E111" s="8" t="s">
        <v>50</v>
      </c>
      <c r="F111" s="8" t="s">
        <v>51</v>
      </c>
      <c r="G111" s="8" t="s">
        <v>32</v>
      </c>
      <c r="H111" s="8"/>
      <c r="I111" s="8"/>
      <c r="J111" s="7" t="s">
        <v>90</v>
      </c>
    </row>
    <row r="112" spans="1:10" ht="28" x14ac:dyDescent="0.35">
      <c r="A112" s="7" t="s">
        <v>262</v>
      </c>
      <c r="B112" s="7" t="s">
        <v>246</v>
      </c>
      <c r="C112" s="7" t="s">
        <v>56</v>
      </c>
      <c r="D112" s="8" t="s">
        <v>263</v>
      </c>
      <c r="E112" s="8" t="s">
        <v>50</v>
      </c>
      <c r="F112" s="8" t="s">
        <v>51</v>
      </c>
      <c r="G112" s="8" t="s">
        <v>32</v>
      </c>
      <c r="H112" s="8"/>
      <c r="I112" s="8"/>
      <c r="J112" s="7" t="s">
        <v>90</v>
      </c>
    </row>
    <row r="113" spans="1:10" ht="28" x14ac:dyDescent="0.35">
      <c r="A113" s="7" t="s">
        <v>264</v>
      </c>
      <c r="B113" s="7" t="s">
        <v>246</v>
      </c>
      <c r="C113" s="7" t="s">
        <v>56</v>
      </c>
      <c r="D113" s="8" t="s">
        <v>265</v>
      </c>
      <c r="E113" s="8" t="s">
        <v>50</v>
      </c>
      <c r="F113" s="8" t="s">
        <v>51</v>
      </c>
      <c r="G113" s="8" t="s">
        <v>32</v>
      </c>
      <c r="H113" s="8"/>
      <c r="I113" s="8"/>
      <c r="J113" s="7" t="s">
        <v>90</v>
      </c>
    </row>
    <row r="114" spans="1:10" ht="28" x14ac:dyDescent="0.35">
      <c r="A114" s="7" t="s">
        <v>266</v>
      </c>
      <c r="B114" s="7" t="s">
        <v>246</v>
      </c>
      <c r="C114" s="7" t="s">
        <v>56</v>
      </c>
      <c r="D114" s="8" t="s">
        <v>267</v>
      </c>
      <c r="E114" s="8" t="s">
        <v>50</v>
      </c>
      <c r="F114" s="8" t="s">
        <v>51</v>
      </c>
      <c r="G114" s="8" t="s">
        <v>32</v>
      </c>
      <c r="H114" s="8"/>
      <c r="I114" s="8"/>
      <c r="J114" s="7" t="s">
        <v>90</v>
      </c>
    </row>
    <row r="115" spans="1:10" ht="28" x14ac:dyDescent="0.35">
      <c r="A115" s="7" t="s">
        <v>268</v>
      </c>
      <c r="B115" s="7" t="s">
        <v>246</v>
      </c>
      <c r="C115" s="7" t="s">
        <v>67</v>
      </c>
      <c r="D115" s="8" t="s">
        <v>269</v>
      </c>
      <c r="E115" s="8" t="s">
        <v>69</v>
      </c>
      <c r="F115" s="8" t="s">
        <v>51</v>
      </c>
      <c r="G115" s="8" t="s">
        <v>32</v>
      </c>
      <c r="H115" s="8"/>
      <c r="I115" s="8"/>
      <c r="J115" s="7" t="s">
        <v>90</v>
      </c>
    </row>
    <row r="116" spans="1:10" ht="42" x14ac:dyDescent="0.35">
      <c r="A116" s="7" t="s">
        <v>270</v>
      </c>
      <c r="B116" s="7" t="s">
        <v>246</v>
      </c>
      <c r="C116" s="7" t="s">
        <v>67</v>
      </c>
      <c r="D116" s="8" t="s">
        <v>271</v>
      </c>
      <c r="E116" s="8" t="s">
        <v>69</v>
      </c>
      <c r="F116" s="8" t="s">
        <v>51</v>
      </c>
      <c r="G116" s="8" t="s">
        <v>32</v>
      </c>
      <c r="H116" s="8"/>
      <c r="I116" s="8"/>
      <c r="J116" s="7" t="s">
        <v>90</v>
      </c>
    </row>
    <row r="117" spans="1:10" ht="28" x14ac:dyDescent="0.35">
      <c r="A117" s="7" t="s">
        <v>272</v>
      </c>
      <c r="B117" s="7" t="s">
        <v>246</v>
      </c>
      <c r="C117" s="7" t="s">
        <v>67</v>
      </c>
      <c r="D117" s="8" t="s">
        <v>273</v>
      </c>
      <c r="E117" s="8" t="s">
        <v>69</v>
      </c>
      <c r="F117" s="8" t="s">
        <v>51</v>
      </c>
      <c r="G117" s="8" t="s">
        <v>32</v>
      </c>
      <c r="H117" s="8"/>
      <c r="I117" s="8"/>
      <c r="J117" s="7" t="s">
        <v>90</v>
      </c>
    </row>
    <row r="118" spans="1:10" ht="28" x14ac:dyDescent="0.35">
      <c r="A118" s="7" t="s">
        <v>274</v>
      </c>
      <c r="B118" s="7" t="s">
        <v>246</v>
      </c>
      <c r="C118" s="7" t="s">
        <v>67</v>
      </c>
      <c r="D118" s="8" t="s">
        <v>275</v>
      </c>
      <c r="E118" s="8" t="s">
        <v>69</v>
      </c>
      <c r="F118" s="8" t="s">
        <v>51</v>
      </c>
      <c r="G118" s="8" t="s">
        <v>32</v>
      </c>
      <c r="H118" s="8"/>
      <c r="I118" s="8"/>
      <c r="J118" s="7" t="s">
        <v>90</v>
      </c>
    </row>
    <row r="119" spans="1:10" ht="42" x14ac:dyDescent="0.35">
      <c r="A119" s="7" t="s">
        <v>276</v>
      </c>
      <c r="B119" s="7" t="s">
        <v>246</v>
      </c>
      <c r="C119" s="7" t="s">
        <v>67</v>
      </c>
      <c r="D119" s="8" t="s">
        <v>277</v>
      </c>
      <c r="E119" s="8" t="s">
        <v>69</v>
      </c>
      <c r="F119" s="8" t="s">
        <v>51</v>
      </c>
      <c r="G119" s="8" t="s">
        <v>32</v>
      </c>
      <c r="H119" s="8"/>
      <c r="I119" s="8"/>
      <c r="J119" s="7" t="s">
        <v>90</v>
      </c>
    </row>
    <row r="120" spans="1:10" ht="28" x14ac:dyDescent="0.35">
      <c r="A120" s="7" t="s">
        <v>278</v>
      </c>
      <c r="B120" s="7" t="s">
        <v>279</v>
      </c>
      <c r="C120" s="7" t="s">
        <v>72</v>
      </c>
      <c r="D120" s="8" t="s">
        <v>280</v>
      </c>
      <c r="E120" s="8" t="s">
        <v>50</v>
      </c>
      <c r="F120" s="8" t="s">
        <v>51</v>
      </c>
      <c r="G120" s="8" t="s">
        <v>32</v>
      </c>
      <c r="H120" s="8"/>
      <c r="I120" s="8"/>
      <c r="J120" s="7" t="s">
        <v>281</v>
      </c>
    </row>
    <row r="121" spans="1:10" ht="28" x14ac:dyDescent="0.35">
      <c r="A121" s="7" t="s">
        <v>282</v>
      </c>
      <c r="B121" s="7" t="s">
        <v>279</v>
      </c>
      <c r="C121" s="7" t="s">
        <v>72</v>
      </c>
      <c r="D121" s="8" t="s">
        <v>283</v>
      </c>
      <c r="E121" s="8" t="s">
        <v>50</v>
      </c>
      <c r="F121" s="8" t="s">
        <v>51</v>
      </c>
      <c r="G121" s="8" t="s">
        <v>32</v>
      </c>
      <c r="H121" s="8"/>
      <c r="I121" s="8"/>
      <c r="J121" s="7" t="s">
        <v>281</v>
      </c>
    </row>
    <row r="122" spans="1:10" ht="28" x14ac:dyDescent="0.35">
      <c r="A122" s="7" t="s">
        <v>284</v>
      </c>
      <c r="B122" s="7" t="s">
        <v>279</v>
      </c>
      <c r="C122" s="7" t="s">
        <v>72</v>
      </c>
      <c r="D122" s="8" t="s">
        <v>285</v>
      </c>
      <c r="E122" s="8" t="s">
        <v>50</v>
      </c>
      <c r="F122" s="8" t="s">
        <v>51</v>
      </c>
      <c r="G122" s="8" t="s">
        <v>32</v>
      </c>
      <c r="H122" s="8"/>
      <c r="I122" s="8"/>
      <c r="J122" s="7" t="s">
        <v>281</v>
      </c>
    </row>
    <row r="123" spans="1:10" ht="28" x14ac:dyDescent="0.35">
      <c r="A123" s="7" t="s">
        <v>286</v>
      </c>
      <c r="B123" s="7" t="s">
        <v>279</v>
      </c>
      <c r="C123" s="7" t="s">
        <v>72</v>
      </c>
      <c r="D123" s="8" t="s">
        <v>287</v>
      </c>
      <c r="E123" s="8" t="s">
        <v>50</v>
      </c>
      <c r="F123" s="8" t="s">
        <v>51</v>
      </c>
      <c r="G123" s="8" t="s">
        <v>32</v>
      </c>
      <c r="H123" s="8"/>
      <c r="I123" s="8"/>
      <c r="J123" s="7" t="s">
        <v>281</v>
      </c>
    </row>
    <row r="124" spans="1:10" ht="28" x14ac:dyDescent="0.35">
      <c r="A124" s="7" t="s">
        <v>288</v>
      </c>
      <c r="B124" s="7" t="s">
        <v>279</v>
      </c>
      <c r="C124" s="7" t="s">
        <v>72</v>
      </c>
      <c r="D124" s="8" t="s">
        <v>289</v>
      </c>
      <c r="E124" s="8" t="s">
        <v>50</v>
      </c>
      <c r="F124" s="8" t="s">
        <v>51</v>
      </c>
      <c r="G124" s="8" t="s">
        <v>32</v>
      </c>
      <c r="H124" s="8"/>
      <c r="I124" s="8"/>
      <c r="J124" s="7" t="s">
        <v>281</v>
      </c>
    </row>
    <row r="125" spans="1:10" ht="28" x14ac:dyDescent="0.35">
      <c r="A125" s="7" t="s">
        <v>290</v>
      </c>
      <c r="B125" s="7" t="s">
        <v>279</v>
      </c>
      <c r="C125" s="7" t="s">
        <v>72</v>
      </c>
      <c r="D125" s="8" t="s">
        <v>291</v>
      </c>
      <c r="E125" s="8" t="s">
        <v>50</v>
      </c>
      <c r="F125" s="8" t="s">
        <v>51</v>
      </c>
      <c r="G125" s="8" t="s">
        <v>32</v>
      </c>
      <c r="H125" s="8"/>
      <c r="I125" s="8"/>
      <c r="J125" s="7" t="s">
        <v>281</v>
      </c>
    </row>
    <row r="126" spans="1:10" ht="28" x14ac:dyDescent="0.35">
      <c r="A126" s="7" t="s">
        <v>292</v>
      </c>
      <c r="B126" s="7" t="s">
        <v>279</v>
      </c>
      <c r="C126" s="7" t="s">
        <v>72</v>
      </c>
      <c r="D126" s="8" t="s">
        <v>293</v>
      </c>
      <c r="E126" s="8" t="s">
        <v>50</v>
      </c>
      <c r="F126" s="8" t="s">
        <v>51</v>
      </c>
      <c r="G126" s="8" t="s">
        <v>32</v>
      </c>
      <c r="H126" s="8"/>
      <c r="I126" s="8"/>
      <c r="J126" s="7" t="s">
        <v>281</v>
      </c>
    </row>
    <row r="127" spans="1:10" ht="28" x14ac:dyDescent="0.35">
      <c r="A127" s="7" t="s">
        <v>294</v>
      </c>
      <c r="B127" s="7" t="s">
        <v>279</v>
      </c>
      <c r="C127" s="7" t="s">
        <v>72</v>
      </c>
      <c r="D127" s="8" t="s">
        <v>295</v>
      </c>
      <c r="E127" s="8" t="s">
        <v>50</v>
      </c>
      <c r="F127" s="8" t="s">
        <v>51</v>
      </c>
      <c r="G127" s="8" t="s">
        <v>32</v>
      </c>
      <c r="H127" s="8"/>
      <c r="I127" s="8"/>
      <c r="J127" s="7" t="s">
        <v>281</v>
      </c>
    </row>
  </sheetData>
  <autoFilter ref="A4:J127" xr:uid="{00000000-0009-0000-0000-000001000000}"/>
  <dataValidations count="2">
    <dataValidation type="list" allowBlank="1" sqref="E5:E327" xr:uid="{00000000-0002-0000-0100-000000000000}">
      <formula1>"Built &amp; tested,Built (manual test),Planned,Next,Out of scope"</formula1>
    </dataValidation>
    <dataValidation type="list" allowBlank="1" sqref="F5:F327" xr:uid="{00000000-0002-0000-0100-000001000000}">
      <formula1>"Must,Should,Could,Won't (now)"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12" customWidth="1"/>
    <col min="2" max="2" width="44" customWidth="1"/>
    <col min="3" max="3" width="14" customWidth="1"/>
    <col min="4" max="5" width="16" customWidth="1"/>
    <col min="6" max="8" width="10" customWidth="1"/>
  </cols>
  <sheetData>
    <row r="1" spans="1:8" ht="20" x14ac:dyDescent="0.4">
      <c r="A1" s="4" t="s">
        <v>296</v>
      </c>
    </row>
    <row r="2" spans="1:8" x14ac:dyDescent="0.35">
      <c r="A2" s="5" t="s">
        <v>297</v>
      </c>
    </row>
    <row r="4" spans="1:8" x14ac:dyDescent="0.35">
      <c r="A4" s="6" t="s">
        <v>298</v>
      </c>
      <c r="B4" s="6" t="s">
        <v>299</v>
      </c>
      <c r="C4" s="6" t="s">
        <v>300</v>
      </c>
      <c r="D4" s="6" t="s">
        <v>50</v>
      </c>
      <c r="E4" s="6" t="s">
        <v>301</v>
      </c>
      <c r="F4" s="6" t="s">
        <v>69</v>
      </c>
      <c r="G4" s="6" t="s">
        <v>62</v>
      </c>
      <c r="H4" s="6" t="s">
        <v>302</v>
      </c>
    </row>
    <row r="5" spans="1:8" x14ac:dyDescent="0.35">
      <c r="A5" s="7" t="s">
        <v>47</v>
      </c>
      <c r="B5" s="7" t="str">
        <f>IFERROR(INDEX('Requirements Register'!$D$5:$D$327,MATCH(A5,'Requirements Register'!$A$5:$A$327,0)),"")</f>
        <v>Tiles &amp; areas: Browse 3 tiles; seeded, editable areas</v>
      </c>
      <c r="C5" s="7">
        <f>COUNTIF('Requirements Register'!$C$5:$C$327,A5)</f>
        <v>6</v>
      </c>
      <c r="D5" s="7">
        <f>COUNTIFS('Requirements Register'!$C$5:$C$327,A5,'Requirements Register'!$E$5:$E$327,"Built &amp; tested")</f>
        <v>4</v>
      </c>
      <c r="E5" s="7">
        <f>COUNTIFS('Requirements Register'!$C$5:$C$327,A5,'Requirements Register'!$E$5:$E$327,"Built (manual test)")</f>
        <v>2</v>
      </c>
      <c r="F5" s="7">
        <f>COUNTIFS('Requirements Register'!$C$5:$C$327,A5,'Requirements Register'!$E$5:$E$327,"Next")</f>
        <v>0</v>
      </c>
      <c r="G5" s="7">
        <f>COUNTIFS('Requirements Register'!$C$5:$C$327,A5,'Requirements Register'!$E$5:$E$327,"Planned")</f>
        <v>0</v>
      </c>
      <c r="H5" s="9">
        <f t="shared" ref="H5:H14" si="0">IF(C5=0,"-",(D5+E5)/C5)</f>
        <v>1</v>
      </c>
    </row>
    <row r="6" spans="1:8" x14ac:dyDescent="0.35">
      <c r="A6" s="7" t="s">
        <v>52</v>
      </c>
      <c r="B6" s="7" t="str">
        <f>IFERROR(INDEX('Requirements Register'!$D$5:$D$327,MATCH(A6,'Requirements Register'!$A$5:$A$327,0)),"")</f>
        <v>Task management: Create, prioritise, filter, change status/frequency/relevance</v>
      </c>
      <c r="C6" s="7">
        <f>COUNTIF('Requirements Register'!$C$5:$C$327,A6)</f>
        <v>9</v>
      </c>
      <c r="D6" s="7">
        <f>COUNTIFS('Requirements Register'!$C$5:$C$327,A6,'Requirements Register'!$E$5:$E$327,"Built &amp; tested")</f>
        <v>7</v>
      </c>
      <c r="E6" s="7">
        <f>COUNTIFS('Requirements Register'!$C$5:$C$327,A6,'Requirements Register'!$E$5:$E$327,"Built (manual test)")</f>
        <v>2</v>
      </c>
      <c r="F6" s="7">
        <f>COUNTIFS('Requirements Register'!$C$5:$C$327,A6,'Requirements Register'!$E$5:$E$327,"Next")</f>
        <v>0</v>
      </c>
      <c r="G6" s="7">
        <f>COUNTIFS('Requirements Register'!$C$5:$C$327,A6,'Requirements Register'!$E$5:$E$327,"Planned")</f>
        <v>0</v>
      </c>
      <c r="H6" s="9">
        <f t="shared" si="0"/>
        <v>1</v>
      </c>
    </row>
    <row r="7" spans="1:8" x14ac:dyDescent="0.35">
      <c r="A7" s="7" t="s">
        <v>54</v>
      </c>
      <c r="B7" s="7" t="str">
        <f>IFERROR(INDEX('Requirements Register'!$D$5:$D$327,MATCH(A7,'Requirements Register'!$A$5:$A$327,0)),"")</f>
        <v>Completion &amp; streaks: Log completions with note/backfill; activity log; current/best streak</v>
      </c>
      <c r="C7" s="7">
        <f>COUNTIF('Requirements Register'!$C$5:$C$327,A7)</f>
        <v>14</v>
      </c>
      <c r="D7" s="7">
        <f>COUNTIFS('Requirements Register'!$C$5:$C$327,A7,'Requirements Register'!$E$5:$E$327,"Built &amp; tested")</f>
        <v>12</v>
      </c>
      <c r="E7" s="7">
        <f>COUNTIFS('Requirements Register'!$C$5:$C$327,A7,'Requirements Register'!$E$5:$E$327,"Built (manual test)")</f>
        <v>2</v>
      </c>
      <c r="F7" s="7">
        <f>COUNTIFS('Requirements Register'!$C$5:$C$327,A7,'Requirements Register'!$E$5:$E$327,"Next")</f>
        <v>0</v>
      </c>
      <c r="G7" s="7">
        <f>COUNTIFS('Requirements Register'!$C$5:$C$327,A7,'Requirements Register'!$E$5:$E$327,"Planned")</f>
        <v>0</v>
      </c>
      <c r="H7" s="9">
        <f t="shared" si="0"/>
        <v>1</v>
      </c>
    </row>
    <row r="8" spans="1:8" x14ac:dyDescent="0.35">
      <c r="A8" s="7" t="s">
        <v>56</v>
      </c>
      <c r="B8" s="7" t="str">
        <f>IFERROR(INDEX('Requirements Register'!$D$5:$D$327,MATCH(A8,'Requirements Register'!$A$5:$A$327,0)),"")</f>
        <v>Rewards: Create, tag, progress, auto-unlock, claim</v>
      </c>
      <c r="C8" s="7">
        <f>COUNTIF('Requirements Register'!$C$5:$C$327,A8)</f>
        <v>13</v>
      </c>
      <c r="D8" s="7">
        <f>COUNTIFS('Requirements Register'!$C$5:$C$327,A8,'Requirements Register'!$E$5:$E$327,"Built &amp; tested")</f>
        <v>11</v>
      </c>
      <c r="E8" s="7">
        <f>COUNTIFS('Requirements Register'!$C$5:$C$327,A8,'Requirements Register'!$E$5:$E$327,"Built (manual test)")</f>
        <v>2</v>
      </c>
      <c r="F8" s="7">
        <f>COUNTIFS('Requirements Register'!$C$5:$C$327,A8,'Requirements Register'!$E$5:$E$327,"Next")</f>
        <v>0</v>
      </c>
      <c r="G8" s="7">
        <f>COUNTIFS('Requirements Register'!$C$5:$C$327,A8,'Requirements Register'!$E$5:$E$327,"Planned")</f>
        <v>0</v>
      </c>
      <c r="H8" s="9">
        <f t="shared" si="0"/>
        <v>1</v>
      </c>
    </row>
    <row r="9" spans="1:8" x14ac:dyDescent="0.35">
      <c r="A9" s="7" t="s">
        <v>58</v>
      </c>
      <c r="B9" s="7" t="str">
        <f>IFERROR(INDEX('Requirements Register'!$D$5:$D$327,MATCH(A9,'Requirements Register'!$A$5:$A$327,0)),"")</f>
        <v>Insights dashboard: Aggregates, filters, cached reads, claim from dashboard</v>
      </c>
      <c r="C9" s="7">
        <f>COUNTIF('Requirements Register'!$C$5:$C$327,A9)</f>
        <v>11</v>
      </c>
      <c r="D9" s="7">
        <f>COUNTIFS('Requirements Register'!$C$5:$C$327,A9,'Requirements Register'!$E$5:$E$327,"Built &amp; tested")</f>
        <v>3</v>
      </c>
      <c r="E9" s="7">
        <f>COUNTIFS('Requirements Register'!$C$5:$C$327,A9,'Requirements Register'!$E$5:$E$327,"Built (manual test)")</f>
        <v>7</v>
      </c>
      <c r="F9" s="7">
        <f>COUNTIFS('Requirements Register'!$C$5:$C$327,A9,'Requirements Register'!$E$5:$E$327,"Next")</f>
        <v>1</v>
      </c>
      <c r="G9" s="7">
        <f>COUNTIFS('Requirements Register'!$C$5:$C$327,A9,'Requirements Register'!$E$5:$E$327,"Planned")</f>
        <v>0</v>
      </c>
      <c r="H9" s="9">
        <f t="shared" si="0"/>
        <v>0.90909090909090906</v>
      </c>
    </row>
    <row r="10" spans="1:8" x14ac:dyDescent="0.35">
      <c r="A10" s="7" t="s">
        <v>60</v>
      </c>
      <c r="B10" s="7" t="str">
        <f>IFERROR(INDEX('Requirements Register'!$D$5:$D$327,MATCH(A10,'Requirements Register'!$A$5:$A$327,0)),"")</f>
        <v>AI task suggestions: Photos → suggestions → decisions → tasks; non-blocking</v>
      </c>
      <c r="C10" s="7">
        <f>COUNTIF('Requirements Register'!$C$5:$C$327,A10)</f>
        <v>9</v>
      </c>
      <c r="D10" s="7">
        <f>COUNTIFS('Requirements Register'!$C$5:$C$327,A10,'Requirements Register'!$E$5:$E$327,"Built &amp; tested")</f>
        <v>0</v>
      </c>
      <c r="E10" s="7">
        <f>COUNTIFS('Requirements Register'!$C$5:$C$327,A10,'Requirements Register'!$E$5:$E$327,"Built (manual test)")</f>
        <v>0</v>
      </c>
      <c r="F10" s="7">
        <f>COUNTIFS('Requirements Register'!$C$5:$C$327,A10,'Requirements Register'!$E$5:$E$327,"Next")</f>
        <v>0</v>
      </c>
      <c r="G10" s="7">
        <f>COUNTIFS('Requirements Register'!$C$5:$C$327,A10,'Requirements Register'!$E$5:$E$327,"Planned")</f>
        <v>9</v>
      </c>
      <c r="H10" s="9">
        <f t="shared" si="0"/>
        <v>0</v>
      </c>
    </row>
    <row r="11" spans="1:8" x14ac:dyDescent="0.35">
      <c r="A11" s="7" t="s">
        <v>63</v>
      </c>
      <c r="B11" s="7" t="str">
        <f>IFERROR(INDEX('Requirements Register'!$D$5:$D$327,MATCH(A11,'Requirements Register'!$A$5:$A$327,0)),"")</f>
        <v>Module composition: Independently delivered MFE with host fallback</v>
      </c>
      <c r="C11" s="7">
        <f>COUNTIF('Requirements Register'!$C$5:$C$327,A11)</f>
        <v>8</v>
      </c>
      <c r="D11" s="7">
        <f>COUNTIFS('Requirements Register'!$C$5:$C$327,A11,'Requirements Register'!$E$5:$E$327,"Built &amp; tested")</f>
        <v>2</v>
      </c>
      <c r="E11" s="7">
        <f>COUNTIFS('Requirements Register'!$C$5:$C$327,A11,'Requirements Register'!$E$5:$E$327,"Built (manual test)")</f>
        <v>6</v>
      </c>
      <c r="F11" s="7">
        <f>COUNTIFS('Requirements Register'!$C$5:$C$327,A11,'Requirements Register'!$E$5:$E$327,"Next")</f>
        <v>0</v>
      </c>
      <c r="G11" s="7">
        <f>COUNTIFS('Requirements Register'!$C$5:$C$327,A11,'Requirements Register'!$E$5:$E$327,"Planned")</f>
        <v>0</v>
      </c>
      <c r="H11" s="9">
        <f t="shared" si="0"/>
        <v>1</v>
      </c>
    </row>
    <row r="12" spans="1:8" x14ac:dyDescent="0.35">
      <c r="A12" s="7" t="s">
        <v>65</v>
      </c>
      <c r="B12" s="7" t="str">
        <f>IFERROR(INDEX('Requirements Register'!$D$5:$D$327,MATCH(A12,'Requirements Register'!$A$5:$A$327,0)),"")</f>
        <v>API (BFF): Versionable, documented, client-shaped API with demo auth</v>
      </c>
      <c r="C12" s="7">
        <f>COUNTIF('Requirements Register'!$C$5:$C$327,A12)</f>
        <v>7</v>
      </c>
      <c r="D12" s="7">
        <f>COUNTIFS('Requirements Register'!$C$5:$C$327,A12,'Requirements Register'!$E$5:$E$327,"Built &amp; tested")</f>
        <v>7</v>
      </c>
      <c r="E12" s="7">
        <f>COUNTIFS('Requirements Register'!$C$5:$C$327,A12,'Requirements Register'!$E$5:$E$327,"Built (manual test)")</f>
        <v>0</v>
      </c>
      <c r="F12" s="7">
        <f>COUNTIFS('Requirements Register'!$C$5:$C$327,A12,'Requirements Register'!$E$5:$E$327,"Next")</f>
        <v>0</v>
      </c>
      <c r="G12" s="7">
        <f>COUNTIFS('Requirements Register'!$C$5:$C$327,A12,'Requirements Register'!$E$5:$E$327,"Planned")</f>
        <v>0</v>
      </c>
      <c r="H12" s="9">
        <f t="shared" si="0"/>
        <v>1</v>
      </c>
    </row>
    <row r="13" spans="1:8" x14ac:dyDescent="0.35">
      <c r="A13" s="7" t="s">
        <v>67</v>
      </c>
      <c r="B13" s="7" t="str">
        <f>IFERROR(INDEX('Requirements Register'!$D$5:$D$327,MATCH(A13,'Requirements Register'!$A$5:$A$327,0)),"")</f>
        <v>Reward scope and matching: Rewards live in the same tiles and areas as tasks; tasks are matched to rewards inside that scope (selected tasks, or all tasks in scope); existing rewards migrated without data loss</v>
      </c>
      <c r="C13" s="7">
        <f>COUNTIF('Requirements Register'!$C$5:$C$327,A13)</f>
        <v>17</v>
      </c>
      <c r="D13" s="7">
        <f>COUNTIFS('Requirements Register'!$C$5:$C$327,A13,'Requirements Register'!$E$5:$E$327,"Built &amp; tested")</f>
        <v>0</v>
      </c>
      <c r="E13" s="7">
        <f>COUNTIFS('Requirements Register'!$C$5:$C$327,A13,'Requirements Register'!$E$5:$E$327,"Built (manual test)")</f>
        <v>0</v>
      </c>
      <c r="F13" s="7">
        <f>COUNTIFS('Requirements Register'!$C$5:$C$327,A13,'Requirements Register'!$E$5:$E$327,"Next")</f>
        <v>17</v>
      </c>
      <c r="G13" s="7">
        <f>COUNTIFS('Requirements Register'!$C$5:$C$327,A13,'Requirements Register'!$E$5:$E$327,"Planned")</f>
        <v>0</v>
      </c>
      <c r="H13" s="9">
        <f t="shared" si="0"/>
        <v>0</v>
      </c>
    </row>
    <row r="14" spans="1:8" x14ac:dyDescent="0.35">
      <c r="A14" s="10" t="s">
        <v>303</v>
      </c>
      <c r="B14" s="10"/>
      <c r="C14" s="10">
        <f>SUM(C5:C13)</f>
        <v>94</v>
      </c>
      <c r="D14" s="10">
        <f>SUM(D5:D13)</f>
        <v>46</v>
      </c>
      <c r="E14" s="10">
        <f>SUM(E5:E13)</f>
        <v>21</v>
      </c>
      <c r="F14" s="10">
        <f>SUM(F5:F13)</f>
        <v>18</v>
      </c>
      <c r="G14" s="10">
        <f>SUM(G5:G13)</f>
        <v>9</v>
      </c>
      <c r="H14" s="11">
        <f t="shared" si="0"/>
        <v>0.71276595744680848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9"/>
  <sheetViews>
    <sheetView workbookViewId="0"/>
  </sheetViews>
  <sheetFormatPr defaultRowHeight="14.5" x14ac:dyDescent="0.35"/>
  <cols>
    <col min="1" max="1" width="70" customWidth="1"/>
  </cols>
  <sheetData>
    <row r="1" spans="1:1" ht="20" x14ac:dyDescent="0.4">
      <c r="A1" s="4" t="s">
        <v>304</v>
      </c>
    </row>
    <row r="3" spans="1:1" x14ac:dyDescent="0.35">
      <c r="A3" s="12" t="s">
        <v>305</v>
      </c>
    </row>
    <row r="5" spans="1:1" x14ac:dyDescent="0.35">
      <c r="A5" s="12" t="s">
        <v>306</v>
      </c>
    </row>
    <row r="7" spans="1:1" x14ac:dyDescent="0.35">
      <c r="A7" s="7" t="s">
        <v>307</v>
      </c>
    </row>
    <row r="8" spans="1:1" ht="28" x14ac:dyDescent="0.35">
      <c r="A8" s="7" t="s">
        <v>308</v>
      </c>
    </row>
    <row r="9" spans="1:1" ht="28" x14ac:dyDescent="0.35">
      <c r="A9" s="7" t="s">
        <v>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6"/>
  <sheetViews>
    <sheetView workbookViewId="0"/>
  </sheetViews>
  <sheetFormatPr defaultRowHeight="14.5" x14ac:dyDescent="0.35"/>
  <cols>
    <col min="1" max="4" width="70" customWidth="1"/>
  </cols>
  <sheetData>
    <row r="1" spans="1:4" ht="20" x14ac:dyDescent="0.4">
      <c r="A1" s="4" t="s">
        <v>310</v>
      </c>
    </row>
    <row r="3" spans="1:4" ht="15.5" x14ac:dyDescent="0.35">
      <c r="A3" s="13" t="s">
        <v>311</v>
      </c>
    </row>
    <row r="4" spans="1:4" x14ac:dyDescent="0.35">
      <c r="A4" s="12" t="s">
        <v>312</v>
      </c>
    </row>
    <row r="6" spans="1:4" ht="15.5" x14ac:dyDescent="0.35">
      <c r="A6" s="13" t="s">
        <v>313</v>
      </c>
    </row>
    <row r="7" spans="1:4" x14ac:dyDescent="0.35">
      <c r="A7" s="6" t="s">
        <v>314</v>
      </c>
      <c r="B7" s="6" t="s">
        <v>315</v>
      </c>
      <c r="C7" s="6" t="s">
        <v>316</v>
      </c>
      <c r="D7" s="6" t="s">
        <v>317</v>
      </c>
    </row>
    <row r="8" spans="1:4" ht="28" x14ac:dyDescent="0.35">
      <c r="A8" s="7" t="s">
        <v>318</v>
      </c>
      <c r="B8" s="7" t="s">
        <v>319</v>
      </c>
      <c r="C8" s="7" t="s">
        <v>320</v>
      </c>
      <c r="D8" s="7" t="s">
        <v>321</v>
      </c>
    </row>
    <row r="9" spans="1:4" x14ac:dyDescent="0.35">
      <c r="A9" s="7" t="s">
        <v>322</v>
      </c>
      <c r="B9" s="7" t="s">
        <v>323</v>
      </c>
      <c r="C9" s="7" t="s">
        <v>324</v>
      </c>
      <c r="D9" s="7" t="s">
        <v>325</v>
      </c>
    </row>
    <row r="10" spans="1:4" x14ac:dyDescent="0.35">
      <c r="A10" s="7" t="s">
        <v>326</v>
      </c>
      <c r="B10" s="7" t="s">
        <v>327</v>
      </c>
      <c r="C10" s="7" t="s">
        <v>328</v>
      </c>
      <c r="D10" s="7" t="s">
        <v>329</v>
      </c>
    </row>
    <row r="11" spans="1:4" x14ac:dyDescent="0.35">
      <c r="A11" s="7" t="s">
        <v>330</v>
      </c>
      <c r="B11" s="7" t="s">
        <v>331</v>
      </c>
      <c r="C11" s="7" t="s">
        <v>332</v>
      </c>
      <c r="D11" s="7" t="s">
        <v>333</v>
      </c>
    </row>
    <row r="13" spans="1:4" ht="15.5" x14ac:dyDescent="0.35">
      <c r="A13" s="13" t="s">
        <v>334</v>
      </c>
    </row>
    <row r="14" spans="1:4" x14ac:dyDescent="0.35">
      <c r="A14" s="6" t="s">
        <v>335</v>
      </c>
      <c r="B14" s="6" t="s">
        <v>27</v>
      </c>
      <c r="C14" s="6" t="s">
        <v>336</v>
      </c>
      <c r="D14" s="6" t="s">
        <v>337</v>
      </c>
    </row>
    <row r="15" spans="1:4" ht="28" x14ac:dyDescent="0.35">
      <c r="A15" s="7" t="s">
        <v>338</v>
      </c>
      <c r="B15" s="7" t="s">
        <v>339</v>
      </c>
      <c r="C15" s="7" t="s">
        <v>340</v>
      </c>
      <c r="D15" s="7" t="s">
        <v>341</v>
      </c>
    </row>
    <row r="16" spans="1:4" ht="28" x14ac:dyDescent="0.35">
      <c r="A16" s="7" t="s">
        <v>342</v>
      </c>
      <c r="B16" s="7" t="s">
        <v>343</v>
      </c>
      <c r="C16" s="7" t="s">
        <v>344</v>
      </c>
      <c r="D16" s="7" t="s">
        <v>345</v>
      </c>
    </row>
    <row r="17" spans="1:4" x14ac:dyDescent="0.35">
      <c r="A17" s="7" t="s">
        <v>346</v>
      </c>
      <c r="B17" s="7" t="s">
        <v>343</v>
      </c>
      <c r="C17" s="7" t="s">
        <v>347</v>
      </c>
      <c r="D17" s="7" t="s">
        <v>348</v>
      </c>
    </row>
    <row r="18" spans="1:4" ht="28" x14ac:dyDescent="0.35">
      <c r="A18" s="7" t="s">
        <v>349</v>
      </c>
      <c r="B18" s="7" t="s">
        <v>350</v>
      </c>
      <c r="C18" s="7" t="s">
        <v>351</v>
      </c>
      <c r="D18" s="7" t="s">
        <v>352</v>
      </c>
    </row>
    <row r="19" spans="1:4" ht="28" x14ac:dyDescent="0.35">
      <c r="A19" s="7" t="s">
        <v>353</v>
      </c>
      <c r="B19" s="7" t="s">
        <v>354</v>
      </c>
      <c r="C19" s="7" t="s">
        <v>355</v>
      </c>
      <c r="D19" s="7" t="s">
        <v>356</v>
      </c>
    </row>
    <row r="20" spans="1:4" x14ac:dyDescent="0.35">
      <c r="A20" s="7" t="s">
        <v>357</v>
      </c>
      <c r="B20" s="7" t="s">
        <v>358</v>
      </c>
      <c r="C20" s="7" t="s">
        <v>359</v>
      </c>
      <c r="D20" s="7" t="s">
        <v>360</v>
      </c>
    </row>
    <row r="21" spans="1:4" x14ac:dyDescent="0.35">
      <c r="A21" s="7" t="s">
        <v>361</v>
      </c>
      <c r="B21" s="7" t="s">
        <v>358</v>
      </c>
      <c r="C21" s="7" t="s">
        <v>362</v>
      </c>
      <c r="D21" s="7" t="s">
        <v>363</v>
      </c>
    </row>
    <row r="22" spans="1:4" x14ac:dyDescent="0.35">
      <c r="A22" s="7" t="s">
        <v>364</v>
      </c>
      <c r="B22" s="7" t="s">
        <v>358</v>
      </c>
      <c r="C22" s="7" t="s">
        <v>365</v>
      </c>
      <c r="D22" s="7" t="s">
        <v>366</v>
      </c>
    </row>
    <row r="23" spans="1:4" x14ac:dyDescent="0.35">
      <c r="A23" s="7" t="s">
        <v>367</v>
      </c>
      <c r="B23" s="7" t="s">
        <v>368</v>
      </c>
      <c r="C23" s="7" t="s">
        <v>369</v>
      </c>
      <c r="D23" s="7" t="s">
        <v>370</v>
      </c>
    </row>
    <row r="24" spans="1:4" ht="28" x14ac:dyDescent="0.35">
      <c r="A24" s="7" t="s">
        <v>371</v>
      </c>
      <c r="B24" s="7" t="s">
        <v>372</v>
      </c>
      <c r="C24" s="7" t="s">
        <v>373</v>
      </c>
      <c r="D24" s="7" t="s">
        <v>374</v>
      </c>
    </row>
    <row r="26" spans="1:4" ht="15.5" x14ac:dyDescent="0.35">
      <c r="A26" s="13" t="s">
        <v>375</v>
      </c>
    </row>
    <row r="27" spans="1:4" ht="28" x14ac:dyDescent="0.35">
      <c r="A27" s="7" t="s">
        <v>376</v>
      </c>
    </row>
    <row r="28" spans="1:4" x14ac:dyDescent="0.35">
      <c r="A28" s="7" t="s">
        <v>377</v>
      </c>
    </row>
    <row r="29" spans="1:4" x14ac:dyDescent="0.35">
      <c r="A29" s="7" t="s">
        <v>378</v>
      </c>
    </row>
    <row r="30" spans="1:4" x14ac:dyDescent="0.35">
      <c r="A30" s="7" t="s">
        <v>379</v>
      </c>
    </row>
    <row r="32" spans="1:4" ht="15.5" x14ac:dyDescent="0.35">
      <c r="A32" s="13" t="s">
        <v>380</v>
      </c>
    </row>
    <row r="33" spans="1:1" ht="28" x14ac:dyDescent="0.35">
      <c r="A33" s="7" t="s">
        <v>381</v>
      </c>
    </row>
    <row r="34" spans="1:1" ht="28" x14ac:dyDescent="0.35">
      <c r="A34" s="7" t="s">
        <v>382</v>
      </c>
    </row>
    <row r="35" spans="1:1" x14ac:dyDescent="0.35">
      <c r="A35" s="7" t="s">
        <v>383</v>
      </c>
    </row>
    <row r="36" spans="1:1" ht="28" x14ac:dyDescent="0.35">
      <c r="A36" s="7" t="s">
        <v>384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8"/>
  <sheetViews>
    <sheetView workbookViewId="0"/>
  </sheetViews>
  <sheetFormatPr defaultRowHeight="14.5" x14ac:dyDescent="0.35"/>
  <cols>
    <col min="1" max="1" width="55" customWidth="1"/>
    <col min="2" max="3" width="70" customWidth="1"/>
  </cols>
  <sheetData>
    <row r="1" spans="1:3" ht="20" x14ac:dyDescent="0.4">
      <c r="A1" s="4" t="s">
        <v>385</v>
      </c>
    </row>
    <row r="3" spans="1:3" ht="15.5" x14ac:dyDescent="0.35">
      <c r="A3" s="13" t="s">
        <v>386</v>
      </c>
    </row>
    <row r="4" spans="1:3" x14ac:dyDescent="0.35">
      <c r="A4" s="12" t="s">
        <v>387</v>
      </c>
    </row>
    <row r="6" spans="1:3" ht="15.5" x14ac:dyDescent="0.35">
      <c r="A6" s="13" t="s">
        <v>388</v>
      </c>
    </row>
    <row r="7" spans="1:3" x14ac:dyDescent="0.35">
      <c r="A7" s="12" t="s">
        <v>387</v>
      </c>
    </row>
    <row r="9" spans="1:3" ht="15.5" x14ac:dyDescent="0.35">
      <c r="A9" s="13" t="s">
        <v>389</v>
      </c>
    </row>
    <row r="10" spans="1:3" x14ac:dyDescent="0.35">
      <c r="A10" s="6" t="s">
        <v>390</v>
      </c>
      <c r="B10" s="6" t="s">
        <v>391</v>
      </c>
      <c r="C10" s="6" t="s">
        <v>392</v>
      </c>
    </row>
    <row r="11" spans="1:3" ht="28" x14ac:dyDescent="0.35">
      <c r="A11" s="7" t="s">
        <v>393</v>
      </c>
      <c r="B11" s="7" t="s">
        <v>394</v>
      </c>
      <c r="C11" s="7" t="s">
        <v>395</v>
      </c>
    </row>
    <row r="12" spans="1:3" x14ac:dyDescent="0.35">
      <c r="A12" s="7" t="s">
        <v>396</v>
      </c>
      <c r="B12" s="7" t="s">
        <v>397</v>
      </c>
      <c r="C12" s="7" t="s">
        <v>398</v>
      </c>
    </row>
    <row r="13" spans="1:3" x14ac:dyDescent="0.35">
      <c r="A13" s="7" t="s">
        <v>399</v>
      </c>
      <c r="B13" s="7" t="s">
        <v>400</v>
      </c>
      <c r="C13" s="7" t="s">
        <v>401</v>
      </c>
    </row>
    <row r="14" spans="1:3" x14ac:dyDescent="0.35">
      <c r="A14" s="7" t="s">
        <v>402</v>
      </c>
      <c r="B14" s="7" t="s">
        <v>403</v>
      </c>
      <c r="C14" s="7" t="s">
        <v>404</v>
      </c>
    </row>
    <row r="15" spans="1:3" x14ac:dyDescent="0.35">
      <c r="A15" s="7" t="s">
        <v>405</v>
      </c>
      <c r="B15" s="7" t="s">
        <v>406</v>
      </c>
      <c r="C15" s="7" t="s">
        <v>407</v>
      </c>
    </row>
    <row r="16" spans="1:3" ht="28" x14ac:dyDescent="0.35">
      <c r="A16" s="7" t="s">
        <v>408</v>
      </c>
      <c r="B16" s="7" t="s">
        <v>409</v>
      </c>
      <c r="C16" s="7" t="s">
        <v>410</v>
      </c>
    </row>
    <row r="17" spans="1:3" x14ac:dyDescent="0.35">
      <c r="A17" s="7" t="s">
        <v>411</v>
      </c>
      <c r="B17" s="7" t="s">
        <v>412</v>
      </c>
      <c r="C17" s="7" t="s">
        <v>413</v>
      </c>
    </row>
    <row r="18" spans="1:3" x14ac:dyDescent="0.35">
      <c r="A18" s="7" t="s">
        <v>414</v>
      </c>
      <c r="B18" s="7" t="s">
        <v>415</v>
      </c>
      <c r="C18" s="7" t="s">
        <v>416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4"/>
  <sheetViews>
    <sheetView workbookViewId="0"/>
  </sheetViews>
  <sheetFormatPr defaultRowHeight="14.5" x14ac:dyDescent="0.35"/>
  <cols>
    <col min="1" max="2" width="70" customWidth="1"/>
    <col min="3" max="3" width="48" customWidth="1"/>
    <col min="4" max="4" width="70" customWidth="1"/>
    <col min="5" max="5" width="16" customWidth="1"/>
  </cols>
  <sheetData>
    <row r="1" spans="1:5" ht="20" x14ac:dyDescent="0.4">
      <c r="A1" s="4" t="s">
        <v>417</v>
      </c>
    </row>
    <row r="3" spans="1:5" ht="15.5" x14ac:dyDescent="0.35">
      <c r="A3" s="13" t="s">
        <v>418</v>
      </c>
    </row>
    <row r="4" spans="1:5" x14ac:dyDescent="0.35">
      <c r="A4" s="12" t="s">
        <v>387</v>
      </c>
    </row>
    <row r="6" spans="1:5" ht="15.5" x14ac:dyDescent="0.35">
      <c r="A6" s="13" t="s">
        <v>419</v>
      </c>
    </row>
    <row r="7" spans="1:5" x14ac:dyDescent="0.35">
      <c r="A7" s="12" t="s">
        <v>387</v>
      </c>
    </row>
    <row r="9" spans="1:5" ht="15.5" x14ac:dyDescent="0.35">
      <c r="A9" s="13" t="s">
        <v>420</v>
      </c>
    </row>
    <row r="10" spans="1:5" x14ac:dyDescent="0.35">
      <c r="A10" s="6" t="s">
        <v>335</v>
      </c>
      <c r="B10" s="6" t="s">
        <v>421</v>
      </c>
      <c r="C10" s="6" t="s">
        <v>391</v>
      </c>
      <c r="D10" s="6" t="s">
        <v>422</v>
      </c>
      <c r="E10" s="6" t="s">
        <v>423</v>
      </c>
    </row>
    <row r="11" spans="1:5" x14ac:dyDescent="0.35">
      <c r="A11" s="7" t="s">
        <v>424</v>
      </c>
      <c r="B11" s="7" t="s">
        <v>425</v>
      </c>
      <c r="C11" s="7" t="s">
        <v>426</v>
      </c>
      <c r="D11" s="7" t="s">
        <v>427</v>
      </c>
      <c r="E11" s="7" t="s">
        <v>428</v>
      </c>
    </row>
    <row r="12" spans="1:5" x14ac:dyDescent="0.35">
      <c r="A12" s="7" t="s">
        <v>429</v>
      </c>
      <c r="B12" s="7" t="s">
        <v>396</v>
      </c>
      <c r="C12" s="7" t="s">
        <v>430</v>
      </c>
      <c r="D12" s="7" t="s">
        <v>431</v>
      </c>
      <c r="E12" s="7" t="s">
        <v>432</v>
      </c>
    </row>
    <row r="13" spans="1:5" x14ac:dyDescent="0.35">
      <c r="A13" s="7" t="s">
        <v>433</v>
      </c>
      <c r="B13" s="7" t="s">
        <v>434</v>
      </c>
      <c r="C13" s="7" t="s">
        <v>435</v>
      </c>
      <c r="D13" s="7" t="s">
        <v>436</v>
      </c>
      <c r="E13" s="7" t="s">
        <v>428</v>
      </c>
    </row>
    <row r="14" spans="1:5" x14ac:dyDescent="0.35">
      <c r="A14" s="7" t="s">
        <v>437</v>
      </c>
      <c r="B14" s="7" t="s">
        <v>438</v>
      </c>
      <c r="C14" s="7" t="s">
        <v>439</v>
      </c>
      <c r="D14" s="7" t="s">
        <v>440</v>
      </c>
      <c r="E14" s="7" t="s">
        <v>428</v>
      </c>
    </row>
    <row r="15" spans="1:5" ht="28" x14ac:dyDescent="0.35">
      <c r="A15" s="7" t="s">
        <v>441</v>
      </c>
      <c r="B15" s="7" t="s">
        <v>442</v>
      </c>
      <c r="C15" s="7" t="s">
        <v>443</v>
      </c>
      <c r="D15" s="7" t="s">
        <v>444</v>
      </c>
      <c r="E15" s="7" t="s">
        <v>445</v>
      </c>
    </row>
    <row r="16" spans="1:5" x14ac:dyDescent="0.35">
      <c r="A16" s="7" t="s">
        <v>446</v>
      </c>
      <c r="B16" s="7" t="s">
        <v>447</v>
      </c>
      <c r="C16" s="7" t="s">
        <v>415</v>
      </c>
      <c r="D16" s="7" t="s">
        <v>448</v>
      </c>
      <c r="E16" s="7" t="s">
        <v>445</v>
      </c>
    </row>
    <row r="17" spans="1:5" x14ac:dyDescent="0.35">
      <c r="A17" s="7" t="s">
        <v>449</v>
      </c>
      <c r="B17" s="7" t="s">
        <v>450</v>
      </c>
      <c r="C17" s="7" t="s">
        <v>415</v>
      </c>
      <c r="D17" s="7" t="s">
        <v>451</v>
      </c>
      <c r="E17" s="7" t="s">
        <v>452</v>
      </c>
    </row>
    <row r="18" spans="1:5" x14ac:dyDescent="0.35">
      <c r="A18" s="7" t="s">
        <v>453</v>
      </c>
      <c r="B18" s="7" t="s">
        <v>454</v>
      </c>
      <c r="C18" s="7" t="s">
        <v>455</v>
      </c>
      <c r="D18" s="7" t="s">
        <v>456</v>
      </c>
      <c r="E18" s="7" t="s">
        <v>445</v>
      </c>
    </row>
    <row r="19" spans="1:5" x14ac:dyDescent="0.35">
      <c r="A19" s="7" t="s">
        <v>457</v>
      </c>
      <c r="B19" s="7" t="s">
        <v>458</v>
      </c>
      <c r="C19" s="7" t="s">
        <v>459</v>
      </c>
      <c r="D19" s="7" t="s">
        <v>460</v>
      </c>
      <c r="E19" s="7" t="s">
        <v>461</v>
      </c>
    </row>
    <row r="20" spans="1:5" x14ac:dyDescent="0.35">
      <c r="A20" s="7" t="s">
        <v>462</v>
      </c>
      <c r="B20" s="7" t="s">
        <v>463</v>
      </c>
      <c r="C20" s="7" t="s">
        <v>464</v>
      </c>
      <c r="D20" s="7" t="s">
        <v>465</v>
      </c>
      <c r="E20" s="7" t="s">
        <v>461</v>
      </c>
    </row>
    <row r="21" spans="1:5" x14ac:dyDescent="0.35">
      <c r="A21" s="7" t="s">
        <v>466</v>
      </c>
      <c r="B21" s="7" t="s">
        <v>467</v>
      </c>
      <c r="C21" s="7" t="s">
        <v>468</v>
      </c>
      <c r="D21" s="7" t="s">
        <v>469</v>
      </c>
      <c r="E21" s="7" t="s">
        <v>445</v>
      </c>
    </row>
    <row r="23" spans="1:5" ht="15.5" x14ac:dyDescent="0.35">
      <c r="A23" s="13" t="s">
        <v>470</v>
      </c>
    </row>
    <row r="24" spans="1:5" x14ac:dyDescent="0.35">
      <c r="A24" s="6" t="s">
        <v>471</v>
      </c>
      <c r="B24" s="6" t="s">
        <v>472</v>
      </c>
      <c r="C24" s="6" t="s">
        <v>22</v>
      </c>
    </row>
    <row r="25" spans="1:5" x14ac:dyDescent="0.35">
      <c r="A25" s="7" t="s">
        <v>473</v>
      </c>
      <c r="B25" s="7" t="s">
        <v>474</v>
      </c>
      <c r="C25" s="7" t="s">
        <v>475</v>
      </c>
    </row>
    <row r="26" spans="1:5" ht="28" x14ac:dyDescent="0.35">
      <c r="A26" s="7" t="s">
        <v>476</v>
      </c>
      <c r="B26" s="7" t="s">
        <v>477</v>
      </c>
      <c r="C26" s="7" t="s">
        <v>478</v>
      </c>
    </row>
    <row r="27" spans="1:5" x14ac:dyDescent="0.35">
      <c r="A27" s="7" t="s">
        <v>479</v>
      </c>
      <c r="B27" s="7" t="s">
        <v>480</v>
      </c>
      <c r="C27" s="7" t="s">
        <v>475</v>
      </c>
    </row>
    <row r="28" spans="1:5" ht="28" x14ac:dyDescent="0.35">
      <c r="A28" s="7" t="s">
        <v>481</v>
      </c>
      <c r="B28" s="7" t="s">
        <v>482</v>
      </c>
      <c r="C28" s="7" t="s">
        <v>478</v>
      </c>
    </row>
    <row r="29" spans="1:5" ht="28" x14ac:dyDescent="0.35">
      <c r="A29" s="7" t="s">
        <v>483</v>
      </c>
      <c r="B29" s="7" t="s">
        <v>484</v>
      </c>
      <c r="C29" s="7" t="s">
        <v>485</v>
      </c>
    </row>
    <row r="30" spans="1:5" x14ac:dyDescent="0.35">
      <c r="A30" s="7" t="s">
        <v>486</v>
      </c>
      <c r="B30" s="7" t="s">
        <v>487</v>
      </c>
      <c r="C30" s="7" t="s">
        <v>488</v>
      </c>
    </row>
    <row r="31" spans="1:5" x14ac:dyDescent="0.35">
      <c r="A31" s="7" t="s">
        <v>489</v>
      </c>
      <c r="B31" s="7" t="s">
        <v>490</v>
      </c>
      <c r="C31" s="7" t="s">
        <v>488</v>
      </c>
    </row>
    <row r="32" spans="1:5" x14ac:dyDescent="0.35">
      <c r="A32" s="7" t="s">
        <v>491</v>
      </c>
      <c r="B32" s="7" t="s">
        <v>492</v>
      </c>
      <c r="C32" s="7" t="s">
        <v>493</v>
      </c>
    </row>
    <row r="34" spans="1:1" x14ac:dyDescent="0.35">
      <c r="A34" s="12" t="s">
        <v>494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7"/>
  <sheetViews>
    <sheetView workbookViewId="0"/>
  </sheetViews>
  <sheetFormatPr defaultRowHeight="14.5" x14ac:dyDescent="0.35"/>
  <cols>
    <col min="1" max="1" width="70" customWidth="1"/>
    <col min="2" max="2" width="52" customWidth="1"/>
    <col min="3" max="3" width="28" customWidth="1"/>
  </cols>
  <sheetData>
    <row r="1" spans="1:3" ht="20" x14ac:dyDescent="0.4">
      <c r="A1" s="4" t="s">
        <v>495</v>
      </c>
    </row>
    <row r="3" spans="1:3" x14ac:dyDescent="0.35">
      <c r="A3" s="6" t="s">
        <v>496</v>
      </c>
      <c r="B3" s="6" t="s">
        <v>497</v>
      </c>
      <c r="C3" s="6" t="s">
        <v>498</v>
      </c>
    </row>
    <row r="4" spans="1:3" ht="28" x14ac:dyDescent="0.35">
      <c r="A4" s="7" t="s">
        <v>499</v>
      </c>
      <c r="B4" s="7" t="s">
        <v>500</v>
      </c>
      <c r="C4" s="7" t="s">
        <v>501</v>
      </c>
    </row>
    <row r="5" spans="1:3" x14ac:dyDescent="0.35">
      <c r="A5" s="7" t="s">
        <v>502</v>
      </c>
      <c r="B5" s="7" t="s">
        <v>503</v>
      </c>
      <c r="C5" s="7" t="s">
        <v>504</v>
      </c>
    </row>
    <row r="6" spans="1:3" x14ac:dyDescent="0.35">
      <c r="A6" s="7" t="s">
        <v>505</v>
      </c>
      <c r="B6" s="7" t="s">
        <v>506</v>
      </c>
      <c r="C6" s="7" t="s">
        <v>507</v>
      </c>
    </row>
    <row r="7" spans="1:3" x14ac:dyDescent="0.35">
      <c r="A7" s="7" t="s">
        <v>508</v>
      </c>
      <c r="B7" s="7" t="s">
        <v>509</v>
      </c>
      <c r="C7" s="7" t="s">
        <v>510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1"/>
  <sheetViews>
    <sheetView workbookViewId="0"/>
  </sheetViews>
  <sheetFormatPr defaultRowHeight="14.5" x14ac:dyDescent="0.35"/>
  <cols>
    <col min="1" max="1" width="48" customWidth="1"/>
    <col min="2" max="3" width="70" customWidth="1"/>
    <col min="4" max="4" width="18" customWidth="1"/>
    <col min="5" max="5" width="8" customWidth="1"/>
  </cols>
  <sheetData>
    <row r="1" spans="1:5" ht="20" x14ac:dyDescent="0.4">
      <c r="A1" s="4" t="s">
        <v>511</v>
      </c>
    </row>
    <row r="3" spans="1:5" ht="15.5" x14ac:dyDescent="0.35">
      <c r="A3" s="13" t="s">
        <v>512</v>
      </c>
    </row>
    <row r="4" spans="1:5" x14ac:dyDescent="0.35">
      <c r="A4" s="6" t="s">
        <v>18</v>
      </c>
      <c r="B4" s="6" t="s">
        <v>21</v>
      </c>
      <c r="C4" s="6" t="s">
        <v>513</v>
      </c>
    </row>
    <row r="5" spans="1:5" x14ac:dyDescent="0.35">
      <c r="A5" s="7" t="s">
        <v>28</v>
      </c>
      <c r="B5" s="7" t="s">
        <v>30</v>
      </c>
      <c r="C5" s="7" t="s">
        <v>33</v>
      </c>
    </row>
    <row r="6" spans="1:5" x14ac:dyDescent="0.35">
      <c r="A6" s="7" t="s">
        <v>35</v>
      </c>
      <c r="B6" s="7" t="s">
        <v>36</v>
      </c>
      <c r="C6" s="7" t="s">
        <v>37</v>
      </c>
    </row>
    <row r="7" spans="1:5" x14ac:dyDescent="0.35">
      <c r="A7" s="7" t="s">
        <v>38</v>
      </c>
      <c r="B7" s="7" t="s">
        <v>39</v>
      </c>
      <c r="C7" s="7" t="s">
        <v>40</v>
      </c>
    </row>
    <row r="8" spans="1:5" x14ac:dyDescent="0.35">
      <c r="A8" s="7" t="s">
        <v>41</v>
      </c>
      <c r="B8" s="7" t="s">
        <v>42</v>
      </c>
      <c r="C8" s="7" t="s">
        <v>43</v>
      </c>
    </row>
    <row r="9" spans="1:5" x14ac:dyDescent="0.35">
      <c r="A9" s="7" t="s">
        <v>44</v>
      </c>
      <c r="B9" s="7" t="s">
        <v>45</v>
      </c>
      <c r="C9" s="7" t="s">
        <v>46</v>
      </c>
    </row>
    <row r="11" spans="1:5" ht="15.5" x14ac:dyDescent="0.35">
      <c r="A11" s="13" t="s">
        <v>514</v>
      </c>
    </row>
    <row r="12" spans="1:5" x14ac:dyDescent="0.35">
      <c r="A12" s="6" t="s">
        <v>18</v>
      </c>
      <c r="B12" s="6" t="s">
        <v>298</v>
      </c>
      <c r="C12" s="6" t="s">
        <v>515</v>
      </c>
      <c r="D12" s="6" t="s">
        <v>516</v>
      </c>
      <c r="E12" s="6" t="s">
        <v>517</v>
      </c>
    </row>
    <row r="13" spans="1:5" x14ac:dyDescent="0.35">
      <c r="A13" s="7" t="s">
        <v>47</v>
      </c>
      <c r="B13" s="7" t="s">
        <v>518</v>
      </c>
      <c r="C13" s="7" t="s">
        <v>519</v>
      </c>
      <c r="D13" s="7" t="s">
        <v>520</v>
      </c>
      <c r="E13" s="7" t="s">
        <v>475</v>
      </c>
    </row>
    <row r="14" spans="1:5" x14ac:dyDescent="0.35">
      <c r="A14" s="7" t="s">
        <v>52</v>
      </c>
      <c r="B14" s="7" t="s">
        <v>521</v>
      </c>
      <c r="C14" s="7" t="s">
        <v>522</v>
      </c>
      <c r="D14" s="7" t="s">
        <v>523</v>
      </c>
      <c r="E14" s="7" t="s">
        <v>475</v>
      </c>
    </row>
    <row r="15" spans="1:5" x14ac:dyDescent="0.35">
      <c r="A15" s="7" t="s">
        <v>54</v>
      </c>
      <c r="B15" s="7" t="s">
        <v>524</v>
      </c>
      <c r="C15" s="7" t="s">
        <v>525</v>
      </c>
      <c r="D15" s="7" t="s">
        <v>526</v>
      </c>
      <c r="E15" s="7" t="s">
        <v>475</v>
      </c>
    </row>
    <row r="16" spans="1:5" x14ac:dyDescent="0.35">
      <c r="A16" s="7" t="s">
        <v>56</v>
      </c>
      <c r="B16" s="7" t="s">
        <v>402</v>
      </c>
      <c r="C16" s="7" t="s">
        <v>527</v>
      </c>
      <c r="D16" s="7" t="s">
        <v>528</v>
      </c>
      <c r="E16" s="7" t="s">
        <v>475</v>
      </c>
    </row>
    <row r="17" spans="1:5" ht="42" x14ac:dyDescent="0.35">
      <c r="A17" s="7" t="s">
        <v>67</v>
      </c>
      <c r="B17" s="7" t="s">
        <v>529</v>
      </c>
      <c r="C17" s="7" t="s">
        <v>530</v>
      </c>
      <c r="D17" s="7" t="s">
        <v>531</v>
      </c>
      <c r="E17" s="7" t="s">
        <v>532</v>
      </c>
    </row>
    <row r="18" spans="1:5" x14ac:dyDescent="0.35">
      <c r="A18" s="7" t="s">
        <v>58</v>
      </c>
      <c r="B18" s="7" t="s">
        <v>533</v>
      </c>
      <c r="C18" s="7" t="s">
        <v>534</v>
      </c>
      <c r="D18" s="7" t="s">
        <v>535</v>
      </c>
      <c r="E18" s="7" t="s">
        <v>475</v>
      </c>
    </row>
    <row r="19" spans="1:5" x14ac:dyDescent="0.35">
      <c r="A19" s="7" t="s">
        <v>60</v>
      </c>
      <c r="B19" s="7" t="s">
        <v>536</v>
      </c>
      <c r="C19" s="7" t="s">
        <v>537</v>
      </c>
      <c r="D19" s="7" t="s">
        <v>538</v>
      </c>
      <c r="E19" s="7" t="s">
        <v>488</v>
      </c>
    </row>
    <row r="20" spans="1:5" x14ac:dyDescent="0.35">
      <c r="A20" s="7" t="s">
        <v>63</v>
      </c>
      <c r="B20" s="7" t="s">
        <v>539</v>
      </c>
      <c r="C20" s="7" t="s">
        <v>540</v>
      </c>
      <c r="D20" s="7" t="s">
        <v>541</v>
      </c>
      <c r="E20" s="7" t="s">
        <v>475</v>
      </c>
    </row>
    <row r="21" spans="1:5" x14ac:dyDescent="0.35">
      <c r="A21" s="7" t="s">
        <v>65</v>
      </c>
      <c r="B21" s="7" t="s">
        <v>542</v>
      </c>
      <c r="C21" s="7" t="s">
        <v>543</v>
      </c>
      <c r="D21" s="7" t="s">
        <v>544</v>
      </c>
      <c r="E21" s="7" t="s">
        <v>475</v>
      </c>
    </row>
    <row r="23" spans="1:5" ht="15.5" x14ac:dyDescent="0.35">
      <c r="A23" s="13" t="s">
        <v>545</v>
      </c>
    </row>
    <row r="24" spans="1:5" x14ac:dyDescent="0.35">
      <c r="A24" s="6" t="s">
        <v>18</v>
      </c>
      <c r="B24" s="6" t="s">
        <v>546</v>
      </c>
      <c r="C24" s="6" t="s">
        <v>21</v>
      </c>
    </row>
    <row r="25" spans="1:5" x14ac:dyDescent="0.35">
      <c r="A25" s="7" t="s">
        <v>70</v>
      </c>
      <c r="B25" s="7" t="s">
        <v>547</v>
      </c>
      <c r="C25" s="7" t="s">
        <v>548</v>
      </c>
    </row>
    <row r="26" spans="1:5" x14ac:dyDescent="0.35">
      <c r="A26" s="7" t="s">
        <v>75</v>
      </c>
      <c r="B26" s="7" t="s">
        <v>411</v>
      </c>
      <c r="C26" s="7" t="s">
        <v>549</v>
      </c>
    </row>
    <row r="27" spans="1:5" ht="28" x14ac:dyDescent="0.35">
      <c r="A27" s="7" t="s">
        <v>77</v>
      </c>
      <c r="B27" s="7" t="s">
        <v>550</v>
      </c>
      <c r="C27" s="7" t="s">
        <v>551</v>
      </c>
    </row>
    <row r="28" spans="1:5" x14ac:dyDescent="0.35">
      <c r="A28" s="7" t="s">
        <v>79</v>
      </c>
      <c r="B28" s="7" t="s">
        <v>552</v>
      </c>
      <c r="C28" s="7" t="s">
        <v>553</v>
      </c>
    </row>
    <row r="29" spans="1:5" x14ac:dyDescent="0.35">
      <c r="A29" s="7" t="s">
        <v>81</v>
      </c>
      <c r="B29" s="7" t="s">
        <v>554</v>
      </c>
      <c r="C29" s="7" t="s">
        <v>555</v>
      </c>
    </row>
    <row r="30" spans="1:5" x14ac:dyDescent="0.35">
      <c r="A30" s="7" t="s">
        <v>83</v>
      </c>
      <c r="B30" s="7" t="s">
        <v>556</v>
      </c>
      <c r="C30" s="7" t="s">
        <v>557</v>
      </c>
    </row>
    <row r="31" spans="1:5" x14ac:dyDescent="0.35">
      <c r="A31" s="7" t="s">
        <v>85</v>
      </c>
      <c r="B31" s="7" t="s">
        <v>558</v>
      </c>
      <c r="C31" s="7" t="s">
        <v>559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6"/>
  <sheetViews>
    <sheetView workbookViewId="0"/>
  </sheetViews>
  <sheetFormatPr defaultRowHeight="14.5" x14ac:dyDescent="0.35"/>
  <cols>
    <col min="1" max="1" width="27" customWidth="1"/>
    <col min="2" max="2" width="16" customWidth="1"/>
    <col min="3" max="4" width="20" customWidth="1"/>
  </cols>
  <sheetData>
    <row r="1" spans="1:4" ht="20" x14ac:dyDescent="0.4">
      <c r="A1" s="4" t="s">
        <v>560</v>
      </c>
    </row>
    <row r="3" spans="1:4" x14ac:dyDescent="0.35">
      <c r="A3" s="6" t="s">
        <v>561</v>
      </c>
      <c r="B3" s="6" t="s">
        <v>562</v>
      </c>
      <c r="C3" s="6" t="s">
        <v>326</v>
      </c>
      <c r="D3" s="6" t="s">
        <v>563</v>
      </c>
    </row>
    <row r="4" spans="1:4" x14ac:dyDescent="0.35">
      <c r="A4" s="7" t="s">
        <v>564</v>
      </c>
      <c r="B4" s="7" t="s">
        <v>565</v>
      </c>
      <c r="C4" s="7" t="s">
        <v>566</v>
      </c>
      <c r="D4" s="7" t="s">
        <v>567</v>
      </c>
    </row>
    <row r="5" spans="1:4" x14ac:dyDescent="0.35">
      <c r="A5" s="7" t="s">
        <v>568</v>
      </c>
      <c r="B5" s="7" t="s">
        <v>565</v>
      </c>
      <c r="C5" s="7" t="s">
        <v>566</v>
      </c>
      <c r="D5" s="7" t="s">
        <v>569</v>
      </c>
    </row>
    <row r="6" spans="1:4" x14ac:dyDescent="0.35">
      <c r="A6" s="7" t="s">
        <v>570</v>
      </c>
      <c r="B6" s="7" t="s">
        <v>571</v>
      </c>
      <c r="C6" s="7" t="s">
        <v>572</v>
      </c>
      <c r="D6" s="7" t="s">
        <v>333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3"/>
  <sheetViews>
    <sheetView workbookViewId="0"/>
  </sheetViews>
  <sheetFormatPr defaultRowHeight="14.5" x14ac:dyDescent="0.35"/>
  <cols>
    <col min="1" max="1" width="70" customWidth="1"/>
  </cols>
  <sheetData>
    <row r="1" spans="1:1" ht="20" x14ac:dyDescent="0.4">
      <c r="A1" s="4" t="s">
        <v>573</v>
      </c>
    </row>
    <row r="3" spans="1:1" x14ac:dyDescent="0.35">
      <c r="A3" s="12" t="s">
        <v>574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7"/>
  <sheetViews>
    <sheetView workbookViewId="0"/>
  </sheetViews>
  <sheetFormatPr defaultRowHeight="14.5" x14ac:dyDescent="0.35"/>
  <cols>
    <col min="1" max="1" width="60" customWidth="1"/>
    <col min="2" max="2" width="12" customWidth="1"/>
    <col min="3" max="3" width="8" customWidth="1"/>
    <col min="4" max="4" width="70" customWidth="1"/>
  </cols>
  <sheetData>
    <row r="1" spans="1:4" ht="20" x14ac:dyDescent="0.4">
      <c r="A1" s="4" t="s">
        <v>575</v>
      </c>
    </row>
    <row r="3" spans="1:4" x14ac:dyDescent="0.35">
      <c r="A3" s="6" t="s">
        <v>576</v>
      </c>
      <c r="B3" s="6" t="s">
        <v>577</v>
      </c>
      <c r="C3" s="6" t="s">
        <v>578</v>
      </c>
      <c r="D3" s="6" t="s">
        <v>579</v>
      </c>
    </row>
    <row r="4" spans="1:4" x14ac:dyDescent="0.35">
      <c r="A4" s="7" t="s">
        <v>580</v>
      </c>
      <c r="B4" s="7" t="s">
        <v>581</v>
      </c>
      <c r="C4" s="7" t="s">
        <v>581</v>
      </c>
      <c r="D4" s="7" t="s">
        <v>582</v>
      </c>
    </row>
    <row r="5" spans="1:4" x14ac:dyDescent="0.35">
      <c r="A5" s="7" t="s">
        <v>583</v>
      </c>
      <c r="B5" s="7" t="s">
        <v>581</v>
      </c>
      <c r="C5" s="7" t="s">
        <v>584</v>
      </c>
      <c r="D5" s="7" t="s">
        <v>585</v>
      </c>
    </row>
    <row r="6" spans="1:4" x14ac:dyDescent="0.35">
      <c r="A6" s="7" t="s">
        <v>586</v>
      </c>
      <c r="B6" s="7" t="s">
        <v>581</v>
      </c>
      <c r="C6" s="7" t="s">
        <v>581</v>
      </c>
      <c r="D6" s="7" t="s">
        <v>587</v>
      </c>
    </row>
    <row r="7" spans="1:4" x14ac:dyDescent="0.35">
      <c r="A7" s="7" t="s">
        <v>588</v>
      </c>
      <c r="B7" s="7" t="s">
        <v>584</v>
      </c>
      <c r="C7" s="7" t="s">
        <v>589</v>
      </c>
      <c r="D7" s="7" t="s">
        <v>590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workbookViewId="0"/>
  </sheetViews>
  <sheetFormatPr defaultRowHeight="14.5" x14ac:dyDescent="0.35"/>
  <cols>
    <col min="1" max="1" width="70" customWidth="1"/>
  </cols>
  <sheetData>
    <row r="1" spans="1:1" ht="20" x14ac:dyDescent="0.4">
      <c r="A1" s="4" t="s">
        <v>591</v>
      </c>
    </row>
    <row r="3" spans="1:1" x14ac:dyDescent="0.35">
      <c r="A3" s="12" t="s">
        <v>592</v>
      </c>
    </row>
    <row r="5" spans="1:1" x14ac:dyDescent="0.35">
      <c r="A5" s="7" t="s">
        <v>593</v>
      </c>
    </row>
    <row r="6" spans="1:1" x14ac:dyDescent="0.35">
      <c r="A6" s="7" t="s">
        <v>594</v>
      </c>
    </row>
    <row r="7" spans="1:1" x14ac:dyDescent="0.35">
      <c r="A7" s="7" t="s">
        <v>595</v>
      </c>
    </row>
    <row r="8" spans="1:1" x14ac:dyDescent="0.35">
      <c r="A8" s="7" t="s">
        <v>596</v>
      </c>
    </row>
    <row r="9" spans="1:1" x14ac:dyDescent="0.35">
      <c r="A9" s="7" t="s">
        <v>597</v>
      </c>
    </row>
    <row r="10" spans="1:1" x14ac:dyDescent="0.35">
      <c r="A10" s="7" t="s">
        <v>598</v>
      </c>
    </row>
    <row r="11" spans="1:1" ht="42" x14ac:dyDescent="0.35">
      <c r="A11" s="7" t="s">
        <v>599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26"/>
  <sheetViews>
    <sheetView workbookViewId="0"/>
  </sheetViews>
  <sheetFormatPr defaultRowHeight="14.5" x14ac:dyDescent="0.35"/>
  <cols>
    <col min="1" max="1" width="37" customWidth="1"/>
    <col min="2" max="3" width="70" customWidth="1"/>
    <col min="4" max="4" width="29" customWidth="1"/>
  </cols>
  <sheetData>
    <row r="1" spans="1:4" ht="20" x14ac:dyDescent="0.4">
      <c r="A1" s="4" t="s">
        <v>600</v>
      </c>
    </row>
    <row r="3" spans="1:4" ht="15.5" x14ac:dyDescent="0.35">
      <c r="A3" s="13" t="s">
        <v>601</v>
      </c>
    </row>
    <row r="4" spans="1:4" x14ac:dyDescent="0.35">
      <c r="A4" s="6" t="s">
        <v>335</v>
      </c>
      <c r="B4" s="6" t="s">
        <v>602</v>
      </c>
      <c r="C4" s="6" t="s">
        <v>603</v>
      </c>
      <c r="D4" s="6" t="s">
        <v>27</v>
      </c>
    </row>
    <row r="5" spans="1:4" x14ac:dyDescent="0.35">
      <c r="A5" s="7" t="s">
        <v>604</v>
      </c>
      <c r="B5" s="7" t="s">
        <v>605</v>
      </c>
      <c r="C5" s="7" t="s">
        <v>606</v>
      </c>
      <c r="D5" s="7" t="s">
        <v>607</v>
      </c>
    </row>
    <row r="6" spans="1:4" ht="42" x14ac:dyDescent="0.35">
      <c r="A6" s="7" t="s">
        <v>608</v>
      </c>
      <c r="B6" s="7" t="s">
        <v>609</v>
      </c>
      <c r="C6" s="7" t="s">
        <v>610</v>
      </c>
      <c r="D6" s="7" t="s">
        <v>611</v>
      </c>
    </row>
    <row r="7" spans="1:4" x14ac:dyDescent="0.35">
      <c r="A7" s="7" t="s">
        <v>612</v>
      </c>
      <c r="B7" s="7" t="s">
        <v>613</v>
      </c>
      <c r="C7" s="7" t="s">
        <v>614</v>
      </c>
      <c r="D7" s="7" t="s">
        <v>615</v>
      </c>
    </row>
    <row r="8" spans="1:4" ht="28" x14ac:dyDescent="0.35">
      <c r="A8" s="7" t="s">
        <v>616</v>
      </c>
      <c r="B8" s="7" t="s">
        <v>617</v>
      </c>
      <c r="C8" s="7" t="s">
        <v>618</v>
      </c>
      <c r="D8" s="7" t="s">
        <v>615</v>
      </c>
    </row>
    <row r="9" spans="1:4" x14ac:dyDescent="0.35">
      <c r="A9" s="7" t="s">
        <v>619</v>
      </c>
      <c r="B9" s="7" t="s">
        <v>620</v>
      </c>
      <c r="C9" s="7" t="s">
        <v>621</v>
      </c>
      <c r="D9" s="7" t="s">
        <v>622</v>
      </c>
    </row>
    <row r="10" spans="1:4" x14ac:dyDescent="0.35">
      <c r="A10" s="7" t="s">
        <v>623</v>
      </c>
      <c r="B10" s="7" t="s">
        <v>624</v>
      </c>
      <c r="C10" s="7" t="s">
        <v>625</v>
      </c>
      <c r="D10" s="7" t="s">
        <v>626</v>
      </c>
    </row>
    <row r="11" spans="1:4" x14ac:dyDescent="0.35">
      <c r="A11" s="7" t="s">
        <v>627</v>
      </c>
      <c r="B11" s="7" t="s">
        <v>628</v>
      </c>
      <c r="C11" s="7" t="s">
        <v>629</v>
      </c>
      <c r="D11" s="7" t="s">
        <v>615</v>
      </c>
    </row>
    <row r="12" spans="1:4" x14ac:dyDescent="0.35">
      <c r="A12" s="7" t="s">
        <v>630</v>
      </c>
      <c r="B12" s="7" t="s">
        <v>631</v>
      </c>
      <c r="C12" s="7" t="s">
        <v>632</v>
      </c>
      <c r="D12" s="7" t="s">
        <v>633</v>
      </c>
    </row>
    <row r="13" spans="1:4" x14ac:dyDescent="0.35">
      <c r="A13" s="7" t="s">
        <v>634</v>
      </c>
      <c r="B13" s="7" t="s">
        <v>635</v>
      </c>
      <c r="C13" s="7" t="s">
        <v>636</v>
      </c>
      <c r="D13" s="7" t="s">
        <v>615</v>
      </c>
    </row>
    <row r="14" spans="1:4" x14ac:dyDescent="0.35">
      <c r="A14" s="7" t="s">
        <v>637</v>
      </c>
      <c r="B14" s="7" t="s">
        <v>638</v>
      </c>
      <c r="C14" s="7" t="s">
        <v>639</v>
      </c>
      <c r="D14" s="7" t="s">
        <v>633</v>
      </c>
    </row>
    <row r="15" spans="1:4" ht="42" x14ac:dyDescent="0.35">
      <c r="A15" s="7" t="s">
        <v>640</v>
      </c>
      <c r="B15" s="7" t="s">
        <v>641</v>
      </c>
      <c r="C15" s="7" t="s">
        <v>642</v>
      </c>
      <c r="D15" s="7" t="s">
        <v>611</v>
      </c>
    </row>
    <row r="16" spans="1:4" ht="42" x14ac:dyDescent="0.35">
      <c r="A16" s="7" t="s">
        <v>643</v>
      </c>
      <c r="B16" s="7" t="s">
        <v>644</v>
      </c>
      <c r="C16" s="7" t="s">
        <v>645</v>
      </c>
      <c r="D16" s="7" t="s">
        <v>646</v>
      </c>
    </row>
    <row r="17" spans="1:4" ht="28" x14ac:dyDescent="0.35">
      <c r="A17" s="7" t="s">
        <v>647</v>
      </c>
      <c r="B17" s="7" t="s">
        <v>648</v>
      </c>
      <c r="C17" s="7" t="s">
        <v>649</v>
      </c>
      <c r="D17" s="7" t="s">
        <v>611</v>
      </c>
    </row>
    <row r="18" spans="1:4" ht="42" x14ac:dyDescent="0.35">
      <c r="A18" s="7" t="s">
        <v>650</v>
      </c>
      <c r="B18" s="7" t="s">
        <v>651</v>
      </c>
      <c r="C18" s="7" t="s">
        <v>652</v>
      </c>
      <c r="D18" s="7" t="s">
        <v>653</v>
      </c>
    </row>
    <row r="20" spans="1:4" ht="15.5" x14ac:dyDescent="0.35">
      <c r="A20" s="13" t="s">
        <v>654</v>
      </c>
    </row>
    <row r="21" spans="1:4" x14ac:dyDescent="0.35">
      <c r="A21" s="6" t="s">
        <v>335</v>
      </c>
      <c r="B21" s="6" t="s">
        <v>655</v>
      </c>
      <c r="C21" s="6" t="s">
        <v>24</v>
      </c>
      <c r="D21" s="6" t="s">
        <v>656</v>
      </c>
    </row>
    <row r="22" spans="1:4" x14ac:dyDescent="0.35">
      <c r="A22" s="7" t="s">
        <v>657</v>
      </c>
      <c r="B22" s="7" t="s">
        <v>658</v>
      </c>
      <c r="C22" s="7" t="s">
        <v>659</v>
      </c>
      <c r="D22" s="7" t="s">
        <v>333</v>
      </c>
    </row>
    <row r="23" spans="1:4" ht="28" x14ac:dyDescent="0.35">
      <c r="A23" s="7" t="s">
        <v>660</v>
      </c>
      <c r="B23" s="7" t="s">
        <v>661</v>
      </c>
      <c r="C23" s="7" t="s">
        <v>659</v>
      </c>
      <c r="D23" s="7" t="s">
        <v>662</v>
      </c>
    </row>
    <row r="24" spans="1:4" x14ac:dyDescent="0.35">
      <c r="A24" s="7" t="s">
        <v>663</v>
      </c>
      <c r="B24" s="7" t="s">
        <v>664</v>
      </c>
      <c r="C24" s="7" t="s">
        <v>659</v>
      </c>
      <c r="D24" s="7" t="s">
        <v>665</v>
      </c>
    </row>
    <row r="25" spans="1:4" x14ac:dyDescent="0.35">
      <c r="A25" s="7" t="s">
        <v>666</v>
      </c>
      <c r="B25" s="7" t="s">
        <v>667</v>
      </c>
      <c r="C25" s="7" t="s">
        <v>659</v>
      </c>
      <c r="D25" s="7" t="s">
        <v>668</v>
      </c>
    </row>
    <row r="26" spans="1:4" x14ac:dyDescent="0.35">
      <c r="A26" s="7" t="s">
        <v>669</v>
      </c>
      <c r="B26" s="7" t="s">
        <v>670</v>
      </c>
      <c r="C26" s="7" t="s">
        <v>659</v>
      </c>
      <c r="D26" s="7" t="s">
        <v>671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5"/>
  <sheetViews>
    <sheetView workbookViewId="0"/>
  </sheetViews>
  <sheetFormatPr defaultRowHeight="14.5" x14ac:dyDescent="0.35"/>
  <cols>
    <col min="1" max="1" width="14" customWidth="1"/>
    <col min="2" max="2" width="57" customWidth="1"/>
    <col min="3" max="3" width="70" customWidth="1"/>
    <col min="4" max="4" width="14" customWidth="1"/>
  </cols>
  <sheetData>
    <row r="1" spans="1:4" ht="20" x14ac:dyDescent="0.4">
      <c r="A1" s="4" t="s">
        <v>672</v>
      </c>
    </row>
    <row r="3" spans="1:4" x14ac:dyDescent="0.35">
      <c r="A3" s="6" t="s">
        <v>673</v>
      </c>
      <c r="B3" s="6" t="s">
        <v>674</v>
      </c>
      <c r="C3" s="6" t="s">
        <v>675</v>
      </c>
      <c r="D3" s="6" t="s">
        <v>676</v>
      </c>
    </row>
    <row r="4" spans="1:4" x14ac:dyDescent="0.35">
      <c r="A4" s="7" t="s">
        <v>677</v>
      </c>
      <c r="B4" s="7" t="s">
        <v>678</v>
      </c>
      <c r="C4" s="7" t="s">
        <v>679</v>
      </c>
      <c r="D4" s="7" t="s">
        <v>680</v>
      </c>
    </row>
    <row r="5" spans="1:4" x14ac:dyDescent="0.35">
      <c r="A5" s="7" t="s">
        <v>681</v>
      </c>
      <c r="B5" s="7" t="s">
        <v>682</v>
      </c>
      <c r="C5" s="7" t="s">
        <v>683</v>
      </c>
      <c r="D5" s="7" t="s">
        <v>520</v>
      </c>
    </row>
    <row r="6" spans="1:4" x14ac:dyDescent="0.35">
      <c r="A6" s="7" t="s">
        <v>684</v>
      </c>
      <c r="B6" s="7" t="s">
        <v>685</v>
      </c>
      <c r="C6" s="7" t="s">
        <v>686</v>
      </c>
      <c r="D6" s="7" t="s">
        <v>523</v>
      </c>
    </row>
    <row r="7" spans="1:4" x14ac:dyDescent="0.35">
      <c r="A7" s="7" t="s">
        <v>399</v>
      </c>
      <c r="B7" s="7" t="s">
        <v>687</v>
      </c>
      <c r="C7" s="7" t="s">
        <v>688</v>
      </c>
      <c r="D7" s="7" t="s">
        <v>526</v>
      </c>
    </row>
    <row r="8" spans="1:4" x14ac:dyDescent="0.35">
      <c r="A8" s="7" t="s">
        <v>689</v>
      </c>
      <c r="B8" s="7" t="s">
        <v>435</v>
      </c>
      <c r="C8" s="7" t="s">
        <v>690</v>
      </c>
      <c r="D8" s="7" t="s">
        <v>526</v>
      </c>
    </row>
    <row r="9" spans="1:4" x14ac:dyDescent="0.35">
      <c r="A9" s="7" t="s">
        <v>691</v>
      </c>
      <c r="B9" s="7" t="s">
        <v>692</v>
      </c>
      <c r="C9" s="7" t="s">
        <v>693</v>
      </c>
      <c r="D9" s="7" t="s">
        <v>694</v>
      </c>
    </row>
    <row r="10" spans="1:4" x14ac:dyDescent="0.35">
      <c r="A10" s="7" t="s">
        <v>402</v>
      </c>
      <c r="B10" s="7" t="s">
        <v>695</v>
      </c>
      <c r="C10" s="7" t="s">
        <v>696</v>
      </c>
      <c r="D10" s="7" t="s">
        <v>528</v>
      </c>
    </row>
    <row r="11" spans="1:4" ht="28" x14ac:dyDescent="0.35">
      <c r="A11" s="7" t="s">
        <v>697</v>
      </c>
      <c r="B11" s="7" t="s">
        <v>698</v>
      </c>
      <c r="C11" s="7" t="s">
        <v>699</v>
      </c>
      <c r="D11" s="7" t="s">
        <v>531</v>
      </c>
    </row>
    <row r="12" spans="1:4" x14ac:dyDescent="0.35">
      <c r="A12" s="7" t="s">
        <v>454</v>
      </c>
      <c r="B12" s="7" t="s">
        <v>455</v>
      </c>
      <c r="C12" s="7" t="s">
        <v>700</v>
      </c>
      <c r="D12" s="7" t="s">
        <v>535</v>
      </c>
    </row>
    <row r="13" spans="1:4" x14ac:dyDescent="0.35">
      <c r="A13" s="7" t="s">
        <v>414</v>
      </c>
      <c r="B13" s="7" t="s">
        <v>333</v>
      </c>
      <c r="C13" s="7" t="s">
        <v>701</v>
      </c>
      <c r="D13" s="7" t="s">
        <v>538</v>
      </c>
    </row>
    <row r="14" spans="1:4" x14ac:dyDescent="0.35">
      <c r="A14" s="7" t="s">
        <v>702</v>
      </c>
      <c r="B14" s="7" t="s">
        <v>703</v>
      </c>
      <c r="C14" s="7" t="s">
        <v>704</v>
      </c>
      <c r="D14" s="7" t="s">
        <v>544</v>
      </c>
    </row>
    <row r="15" spans="1:4" x14ac:dyDescent="0.35">
      <c r="A15" s="7" t="s">
        <v>463</v>
      </c>
      <c r="B15" s="7" t="s">
        <v>705</v>
      </c>
      <c r="C15" s="7" t="s">
        <v>706</v>
      </c>
      <c r="D15" s="7" t="s">
        <v>544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60"/>
  <sheetViews>
    <sheetView workbookViewId="0"/>
  </sheetViews>
  <sheetFormatPr defaultRowHeight="14.5" x14ac:dyDescent="0.35"/>
  <cols>
    <col min="1" max="2" width="70" customWidth="1"/>
    <col min="3" max="3" width="25" customWidth="1"/>
  </cols>
  <sheetData>
    <row r="1" spans="1:3" ht="20" x14ac:dyDescent="0.4">
      <c r="A1" s="4" t="s">
        <v>707</v>
      </c>
    </row>
    <row r="3" spans="1:3" ht="15.5" x14ac:dyDescent="0.35">
      <c r="A3" s="13" t="s">
        <v>708</v>
      </c>
    </row>
    <row r="4" spans="1:3" x14ac:dyDescent="0.35">
      <c r="A4" s="6" t="s">
        <v>18</v>
      </c>
      <c r="B4" s="6" t="s">
        <v>21</v>
      </c>
      <c r="C4" s="6" t="s">
        <v>22</v>
      </c>
    </row>
    <row r="5" spans="1:3" ht="28" x14ac:dyDescent="0.35">
      <c r="A5" s="7" t="s">
        <v>87</v>
      </c>
      <c r="B5" s="7" t="s">
        <v>89</v>
      </c>
      <c r="C5" s="7" t="s">
        <v>475</v>
      </c>
    </row>
    <row r="6" spans="1:3" ht="28" x14ac:dyDescent="0.35">
      <c r="A6" s="7" t="s">
        <v>91</v>
      </c>
      <c r="B6" s="7" t="s">
        <v>92</v>
      </c>
      <c r="C6" s="7" t="s">
        <v>709</v>
      </c>
    </row>
    <row r="7" spans="1:3" ht="28" x14ac:dyDescent="0.35">
      <c r="A7" s="7" t="s">
        <v>93</v>
      </c>
      <c r="B7" s="7" t="s">
        <v>94</v>
      </c>
      <c r="C7" s="7" t="s">
        <v>475</v>
      </c>
    </row>
    <row r="8" spans="1:3" x14ac:dyDescent="0.35">
      <c r="A8" s="7" t="s">
        <v>95</v>
      </c>
      <c r="B8" s="7" t="s">
        <v>96</v>
      </c>
      <c r="C8" s="7" t="s">
        <v>475</v>
      </c>
    </row>
    <row r="9" spans="1:3" ht="28" x14ac:dyDescent="0.35">
      <c r="A9" s="7" t="s">
        <v>97</v>
      </c>
      <c r="B9" s="7" t="s">
        <v>98</v>
      </c>
      <c r="C9" s="7" t="s">
        <v>475</v>
      </c>
    </row>
    <row r="10" spans="1:3" x14ac:dyDescent="0.35">
      <c r="A10" s="7" t="s">
        <v>99</v>
      </c>
      <c r="B10" s="7" t="s">
        <v>100</v>
      </c>
      <c r="C10" s="7" t="s">
        <v>709</v>
      </c>
    </row>
    <row r="12" spans="1:3" ht="15.5" x14ac:dyDescent="0.35">
      <c r="A12" s="13" t="s">
        <v>710</v>
      </c>
    </row>
    <row r="13" spans="1:3" ht="42" x14ac:dyDescent="0.35">
      <c r="A13" s="7" t="s">
        <v>711</v>
      </c>
    </row>
    <row r="14" spans="1:3" ht="28" x14ac:dyDescent="0.35">
      <c r="A14" s="7" t="s">
        <v>712</v>
      </c>
    </row>
    <row r="16" spans="1:3" ht="15.5" x14ac:dyDescent="0.35">
      <c r="A16" s="13" t="s">
        <v>713</v>
      </c>
    </row>
    <row r="17" spans="1:3" ht="28" x14ac:dyDescent="0.35">
      <c r="A17" s="7" t="s">
        <v>714</v>
      </c>
    </row>
    <row r="19" spans="1:3" ht="15.5" x14ac:dyDescent="0.35">
      <c r="A19" s="13" t="s">
        <v>715</v>
      </c>
    </row>
    <row r="20" spans="1:3" x14ac:dyDescent="0.35">
      <c r="A20" s="6" t="s">
        <v>18</v>
      </c>
      <c r="B20" s="6" t="s">
        <v>21</v>
      </c>
      <c r="C20" s="6" t="s">
        <v>22</v>
      </c>
    </row>
    <row r="21" spans="1:3" ht="42" x14ac:dyDescent="0.35">
      <c r="A21" s="7" t="s">
        <v>101</v>
      </c>
      <c r="B21" s="7" t="s">
        <v>102</v>
      </c>
      <c r="C21" s="7" t="s">
        <v>475</v>
      </c>
    </row>
    <row r="22" spans="1:3" ht="28" x14ac:dyDescent="0.35">
      <c r="A22" s="7" t="s">
        <v>103</v>
      </c>
      <c r="B22" s="7" t="s">
        <v>104</v>
      </c>
      <c r="C22" s="7" t="s">
        <v>709</v>
      </c>
    </row>
    <row r="23" spans="1:3" x14ac:dyDescent="0.35">
      <c r="A23" s="7" t="s">
        <v>105</v>
      </c>
      <c r="B23" s="7" t="s">
        <v>106</v>
      </c>
      <c r="C23" s="7" t="s">
        <v>475</v>
      </c>
    </row>
    <row r="24" spans="1:3" ht="28" x14ac:dyDescent="0.35">
      <c r="A24" s="7" t="s">
        <v>107</v>
      </c>
      <c r="B24" s="7" t="s">
        <v>108</v>
      </c>
      <c r="C24" s="7" t="s">
        <v>475</v>
      </c>
    </row>
    <row r="25" spans="1:3" x14ac:dyDescent="0.35">
      <c r="A25" s="7" t="s">
        <v>109</v>
      </c>
      <c r="B25" s="7" t="s">
        <v>110</v>
      </c>
      <c r="C25" s="7" t="s">
        <v>475</v>
      </c>
    </row>
    <row r="26" spans="1:3" ht="28" x14ac:dyDescent="0.35">
      <c r="A26" s="7" t="s">
        <v>111</v>
      </c>
      <c r="B26" s="7" t="s">
        <v>112</v>
      </c>
      <c r="C26" s="7" t="s">
        <v>475</v>
      </c>
    </row>
    <row r="27" spans="1:3" ht="28" x14ac:dyDescent="0.35">
      <c r="A27" s="7" t="s">
        <v>113</v>
      </c>
      <c r="B27" s="7" t="s">
        <v>114</v>
      </c>
      <c r="C27" s="7" t="s">
        <v>709</v>
      </c>
    </row>
    <row r="28" spans="1:3" ht="28" x14ac:dyDescent="0.35">
      <c r="A28" s="7" t="s">
        <v>115</v>
      </c>
      <c r="B28" s="7" t="s">
        <v>116</v>
      </c>
      <c r="C28" s="7" t="s">
        <v>475</v>
      </c>
    </row>
    <row r="29" spans="1:3" ht="28" x14ac:dyDescent="0.35">
      <c r="A29" s="7" t="s">
        <v>117</v>
      </c>
      <c r="B29" s="7" t="s">
        <v>118</v>
      </c>
      <c r="C29" s="7" t="s">
        <v>475</v>
      </c>
    </row>
    <row r="31" spans="1:3" ht="15.5" x14ac:dyDescent="0.35">
      <c r="A31" s="13" t="s">
        <v>716</v>
      </c>
    </row>
    <row r="32" spans="1:3" ht="28" x14ac:dyDescent="0.35">
      <c r="A32" s="7" t="s">
        <v>717</v>
      </c>
    </row>
    <row r="34" spans="1:3" ht="15.5" x14ac:dyDescent="0.35">
      <c r="A34" s="13" t="s">
        <v>718</v>
      </c>
    </row>
    <row r="35" spans="1:3" ht="28" x14ac:dyDescent="0.35">
      <c r="A35" s="7" t="s">
        <v>719</v>
      </c>
    </row>
    <row r="37" spans="1:3" ht="15.5" x14ac:dyDescent="0.35">
      <c r="A37" s="13" t="s">
        <v>720</v>
      </c>
    </row>
    <row r="38" spans="1:3" x14ac:dyDescent="0.35">
      <c r="A38" s="6" t="s">
        <v>18</v>
      </c>
      <c r="B38" s="6" t="s">
        <v>21</v>
      </c>
      <c r="C38" s="6" t="s">
        <v>22</v>
      </c>
    </row>
    <row r="39" spans="1:3" ht="28" x14ac:dyDescent="0.35">
      <c r="A39" s="7" t="s">
        <v>119</v>
      </c>
      <c r="B39" s="7" t="s">
        <v>120</v>
      </c>
      <c r="C39" s="7" t="s">
        <v>475</v>
      </c>
    </row>
    <row r="40" spans="1:3" x14ac:dyDescent="0.35">
      <c r="A40" s="7" t="s">
        <v>121</v>
      </c>
      <c r="B40" s="7" t="s">
        <v>122</v>
      </c>
      <c r="C40" s="7" t="s">
        <v>709</v>
      </c>
    </row>
    <row r="41" spans="1:3" x14ac:dyDescent="0.35">
      <c r="A41" s="7" t="s">
        <v>123</v>
      </c>
      <c r="B41" s="7" t="s">
        <v>124</v>
      </c>
      <c r="C41" s="7" t="s">
        <v>475</v>
      </c>
    </row>
    <row r="42" spans="1:3" ht="28" x14ac:dyDescent="0.35">
      <c r="A42" s="7" t="s">
        <v>125</v>
      </c>
      <c r="B42" s="7" t="s">
        <v>126</v>
      </c>
      <c r="C42" s="7" t="s">
        <v>475</v>
      </c>
    </row>
    <row r="43" spans="1:3" ht="28" x14ac:dyDescent="0.35">
      <c r="A43" s="7" t="s">
        <v>127</v>
      </c>
      <c r="B43" s="7" t="s">
        <v>128</v>
      </c>
      <c r="C43" s="7" t="s">
        <v>475</v>
      </c>
    </row>
    <row r="44" spans="1:3" x14ac:dyDescent="0.35">
      <c r="A44" s="7" t="s">
        <v>129</v>
      </c>
      <c r="B44" s="7" t="s">
        <v>130</v>
      </c>
      <c r="C44" s="7" t="s">
        <v>475</v>
      </c>
    </row>
    <row r="45" spans="1:3" ht="28" x14ac:dyDescent="0.35">
      <c r="A45" s="7" t="s">
        <v>131</v>
      </c>
      <c r="B45" s="7" t="s">
        <v>132</v>
      </c>
      <c r="C45" s="7" t="s">
        <v>475</v>
      </c>
    </row>
    <row r="46" spans="1:3" x14ac:dyDescent="0.35">
      <c r="A46" s="7" t="s">
        <v>133</v>
      </c>
      <c r="B46" s="7" t="s">
        <v>134</v>
      </c>
      <c r="C46" s="7" t="s">
        <v>709</v>
      </c>
    </row>
    <row r="48" spans="1:3" ht="15.5" x14ac:dyDescent="0.35">
      <c r="A48" s="13" t="s">
        <v>721</v>
      </c>
    </row>
    <row r="49" spans="1:3" x14ac:dyDescent="0.35">
      <c r="A49" s="6" t="s">
        <v>18</v>
      </c>
      <c r="B49" s="6" t="s">
        <v>722</v>
      </c>
    </row>
    <row r="50" spans="1:3" ht="28" x14ac:dyDescent="0.35">
      <c r="A50" s="7" t="s">
        <v>245</v>
      </c>
      <c r="B50" s="7" t="s">
        <v>247</v>
      </c>
    </row>
    <row r="51" spans="1:3" ht="28" x14ac:dyDescent="0.35">
      <c r="A51" s="7" t="s">
        <v>248</v>
      </c>
      <c r="B51" s="7" t="s">
        <v>249</v>
      </c>
    </row>
    <row r="52" spans="1:3" x14ac:dyDescent="0.35">
      <c r="A52" s="7" t="s">
        <v>250</v>
      </c>
      <c r="B52" s="7" t="s">
        <v>251</v>
      </c>
    </row>
    <row r="53" spans="1:3" ht="28" x14ac:dyDescent="0.35">
      <c r="A53" s="7" t="s">
        <v>252</v>
      </c>
      <c r="B53" s="7" t="s">
        <v>253</v>
      </c>
    </row>
    <row r="54" spans="1:3" ht="28" x14ac:dyDescent="0.35">
      <c r="A54" s="7" t="s">
        <v>254</v>
      </c>
      <c r="B54" s="7" t="s">
        <v>255</v>
      </c>
    </row>
    <row r="55" spans="1:3" x14ac:dyDescent="0.35">
      <c r="A55" s="7" t="s">
        <v>256</v>
      </c>
      <c r="B55" s="7" t="s">
        <v>257</v>
      </c>
    </row>
    <row r="57" spans="1:3" ht="15.5" x14ac:dyDescent="0.35">
      <c r="A57" s="13" t="s">
        <v>723</v>
      </c>
    </row>
    <row r="58" spans="1:3" ht="28" x14ac:dyDescent="0.35">
      <c r="A58" s="7" t="s">
        <v>724</v>
      </c>
    </row>
    <row r="59" spans="1:3" ht="28" x14ac:dyDescent="0.35">
      <c r="A59" s="7" t="s">
        <v>725</v>
      </c>
    </row>
    <row r="60" spans="1:3" ht="28" x14ac:dyDescent="0.35">
      <c r="A60" s="7" t="s">
        <v>726</v>
      </c>
    </row>
    <row r="61" spans="1:3" ht="28" x14ac:dyDescent="0.35">
      <c r="A61" s="7" t="s">
        <v>727</v>
      </c>
    </row>
    <row r="63" spans="1:3" ht="15.5" x14ac:dyDescent="0.35">
      <c r="A63" s="13" t="s">
        <v>728</v>
      </c>
    </row>
    <row r="64" spans="1:3" x14ac:dyDescent="0.35">
      <c r="A64" s="6" t="s">
        <v>18</v>
      </c>
      <c r="B64" s="6" t="s">
        <v>21</v>
      </c>
      <c r="C64" s="6" t="s">
        <v>22</v>
      </c>
    </row>
    <row r="65" spans="1:3" ht="42" x14ac:dyDescent="0.35">
      <c r="A65" s="7" t="s">
        <v>135</v>
      </c>
      <c r="B65" s="7" t="s">
        <v>136</v>
      </c>
      <c r="C65" s="7" t="s">
        <v>475</v>
      </c>
    </row>
    <row r="66" spans="1:3" ht="28" x14ac:dyDescent="0.35">
      <c r="A66" s="7" t="s">
        <v>137</v>
      </c>
      <c r="B66" s="7" t="s">
        <v>138</v>
      </c>
      <c r="C66" s="7" t="s">
        <v>475</v>
      </c>
    </row>
    <row r="67" spans="1:3" x14ac:dyDescent="0.35">
      <c r="A67" s="7" t="s">
        <v>139</v>
      </c>
      <c r="B67" s="7" t="s">
        <v>140</v>
      </c>
      <c r="C67" s="7" t="s">
        <v>709</v>
      </c>
    </row>
    <row r="68" spans="1:3" ht="28" x14ac:dyDescent="0.35">
      <c r="A68" s="7" t="s">
        <v>141</v>
      </c>
      <c r="B68" s="7" t="s">
        <v>142</v>
      </c>
      <c r="C68" s="7" t="s">
        <v>475</v>
      </c>
    </row>
    <row r="69" spans="1:3" x14ac:dyDescent="0.35">
      <c r="A69" s="7" t="s">
        <v>143</v>
      </c>
      <c r="B69" s="7" t="s">
        <v>144</v>
      </c>
      <c r="C69" s="7" t="s">
        <v>475</v>
      </c>
    </row>
    <row r="70" spans="1:3" ht="28" x14ac:dyDescent="0.35">
      <c r="A70" s="7" t="s">
        <v>145</v>
      </c>
      <c r="B70" s="7" t="s">
        <v>146</v>
      </c>
      <c r="C70" s="7" t="s">
        <v>475</v>
      </c>
    </row>
    <row r="71" spans="1:3" ht="28" x14ac:dyDescent="0.35">
      <c r="A71" s="7" t="s">
        <v>147</v>
      </c>
      <c r="B71" s="7" t="s">
        <v>148</v>
      </c>
      <c r="C71" s="7" t="s">
        <v>475</v>
      </c>
    </row>
    <row r="72" spans="1:3" x14ac:dyDescent="0.35">
      <c r="A72" s="7" t="s">
        <v>149</v>
      </c>
      <c r="B72" s="7" t="s">
        <v>150</v>
      </c>
      <c r="C72" s="7" t="s">
        <v>709</v>
      </c>
    </row>
    <row r="74" spans="1:3" ht="15.5" x14ac:dyDescent="0.35">
      <c r="A74" s="13" t="s">
        <v>729</v>
      </c>
    </row>
    <row r="75" spans="1:3" x14ac:dyDescent="0.35">
      <c r="A75" s="6" t="s">
        <v>18</v>
      </c>
      <c r="B75" s="6" t="s">
        <v>21</v>
      </c>
      <c r="C75" s="6" t="s">
        <v>22</v>
      </c>
    </row>
    <row r="76" spans="1:3" ht="56" x14ac:dyDescent="0.35">
      <c r="A76" s="7" t="s">
        <v>151</v>
      </c>
      <c r="B76" s="7" t="s">
        <v>152</v>
      </c>
      <c r="C76" s="7" t="s">
        <v>488</v>
      </c>
    </row>
    <row r="77" spans="1:3" ht="42" x14ac:dyDescent="0.35">
      <c r="A77" s="7" t="s">
        <v>153</v>
      </c>
      <c r="B77" s="7" t="s">
        <v>154</v>
      </c>
      <c r="C77" s="7" t="s">
        <v>488</v>
      </c>
    </row>
    <row r="78" spans="1:3" ht="42" x14ac:dyDescent="0.35">
      <c r="A78" s="7" t="s">
        <v>155</v>
      </c>
      <c r="B78" s="7" t="s">
        <v>156</v>
      </c>
      <c r="C78" s="7" t="s">
        <v>488</v>
      </c>
    </row>
    <row r="79" spans="1:3" ht="28" x14ac:dyDescent="0.35">
      <c r="A79" s="7" t="s">
        <v>157</v>
      </c>
      <c r="B79" s="7" t="s">
        <v>158</v>
      </c>
      <c r="C79" s="7" t="s">
        <v>488</v>
      </c>
    </row>
    <row r="80" spans="1:3" ht="42" x14ac:dyDescent="0.35">
      <c r="A80" s="7" t="s">
        <v>159</v>
      </c>
      <c r="B80" s="7" t="s">
        <v>160</v>
      </c>
      <c r="C80" s="7" t="s">
        <v>488</v>
      </c>
    </row>
    <row r="81" spans="1:3" ht="28" x14ac:dyDescent="0.35">
      <c r="A81" s="7" t="s">
        <v>161</v>
      </c>
      <c r="B81" s="7" t="s">
        <v>162</v>
      </c>
      <c r="C81" s="7" t="s">
        <v>488</v>
      </c>
    </row>
    <row r="82" spans="1:3" ht="42" x14ac:dyDescent="0.35">
      <c r="A82" s="7" t="s">
        <v>163</v>
      </c>
      <c r="B82" s="7" t="s">
        <v>164</v>
      </c>
      <c r="C82" s="7" t="s">
        <v>488</v>
      </c>
    </row>
    <row r="83" spans="1:3" ht="42" x14ac:dyDescent="0.35">
      <c r="A83" s="7" t="s">
        <v>165</v>
      </c>
      <c r="B83" s="7" t="s">
        <v>166</v>
      </c>
      <c r="C83" s="7" t="s">
        <v>488</v>
      </c>
    </row>
    <row r="84" spans="1:3" ht="42" x14ac:dyDescent="0.35">
      <c r="A84" s="7" t="s">
        <v>167</v>
      </c>
      <c r="B84" s="7" t="s">
        <v>168</v>
      </c>
      <c r="C84" s="7" t="s">
        <v>488</v>
      </c>
    </row>
    <row r="85" spans="1:3" ht="70" x14ac:dyDescent="0.35">
      <c r="A85" s="7" t="s">
        <v>169</v>
      </c>
      <c r="B85" s="7" t="s">
        <v>170</v>
      </c>
      <c r="C85" s="7" t="s">
        <v>488</v>
      </c>
    </row>
    <row r="87" spans="1:3" ht="15.5" x14ac:dyDescent="0.35">
      <c r="A87" s="13" t="s">
        <v>730</v>
      </c>
    </row>
    <row r="88" spans="1:3" x14ac:dyDescent="0.35">
      <c r="A88" s="6" t="s">
        <v>18</v>
      </c>
      <c r="B88" s="6" t="s">
        <v>722</v>
      </c>
    </row>
    <row r="89" spans="1:3" x14ac:dyDescent="0.35">
      <c r="A89" s="7" t="s">
        <v>258</v>
      </c>
      <c r="B89" s="7" t="s">
        <v>259</v>
      </c>
    </row>
    <row r="90" spans="1:3" x14ac:dyDescent="0.35">
      <c r="A90" s="7" t="s">
        <v>260</v>
      </c>
      <c r="B90" s="7" t="s">
        <v>261</v>
      </c>
    </row>
    <row r="91" spans="1:3" ht="28" x14ac:dyDescent="0.35">
      <c r="A91" s="7" t="s">
        <v>262</v>
      </c>
      <c r="B91" s="7" t="s">
        <v>263</v>
      </c>
    </row>
    <row r="92" spans="1:3" x14ac:dyDescent="0.35">
      <c r="A92" s="7" t="s">
        <v>264</v>
      </c>
      <c r="B92" s="7" t="s">
        <v>265</v>
      </c>
    </row>
    <row r="93" spans="1:3" x14ac:dyDescent="0.35">
      <c r="A93" s="7" t="s">
        <v>266</v>
      </c>
      <c r="B93" s="7" t="s">
        <v>267</v>
      </c>
    </row>
    <row r="94" spans="1:3" ht="42" x14ac:dyDescent="0.35">
      <c r="A94" s="7" t="s">
        <v>268</v>
      </c>
      <c r="B94" s="7" t="s">
        <v>269</v>
      </c>
    </row>
    <row r="95" spans="1:3" ht="42" x14ac:dyDescent="0.35">
      <c r="A95" s="7" t="s">
        <v>270</v>
      </c>
      <c r="B95" s="7" t="s">
        <v>271</v>
      </c>
    </row>
    <row r="96" spans="1:3" ht="28" x14ac:dyDescent="0.35">
      <c r="A96" s="7" t="s">
        <v>272</v>
      </c>
      <c r="B96" s="7" t="s">
        <v>273</v>
      </c>
    </row>
    <row r="97" spans="1:2" ht="28" x14ac:dyDescent="0.35">
      <c r="A97" s="7" t="s">
        <v>274</v>
      </c>
      <c r="B97" s="7" t="s">
        <v>275</v>
      </c>
    </row>
    <row r="98" spans="1:2" ht="42" x14ac:dyDescent="0.35">
      <c r="A98" s="7" t="s">
        <v>276</v>
      </c>
      <c r="B98" s="7" t="s">
        <v>277</v>
      </c>
    </row>
    <row r="100" spans="1:2" ht="15.5" x14ac:dyDescent="0.35">
      <c r="A100" s="13" t="s">
        <v>731</v>
      </c>
    </row>
    <row r="101" spans="1:2" ht="42" x14ac:dyDescent="0.35">
      <c r="A101" s="7" t="s">
        <v>732</v>
      </c>
    </row>
    <row r="102" spans="1:2" ht="56" x14ac:dyDescent="0.35">
      <c r="A102" s="7" t="s">
        <v>733</v>
      </c>
    </row>
    <row r="103" spans="1:2" ht="28" x14ac:dyDescent="0.35">
      <c r="A103" s="7" t="s">
        <v>734</v>
      </c>
    </row>
    <row r="104" spans="1:2" ht="42" x14ac:dyDescent="0.35">
      <c r="A104" s="7" t="s">
        <v>735</v>
      </c>
    </row>
    <row r="105" spans="1:2" ht="42" x14ac:dyDescent="0.35">
      <c r="A105" s="7" t="s">
        <v>736</v>
      </c>
    </row>
    <row r="106" spans="1:2" ht="28" x14ac:dyDescent="0.35">
      <c r="A106" s="7" t="s">
        <v>737</v>
      </c>
    </row>
    <row r="108" spans="1:2" ht="15.5" x14ac:dyDescent="0.35">
      <c r="A108" s="13" t="s">
        <v>738</v>
      </c>
    </row>
    <row r="109" spans="1:2" ht="28" x14ac:dyDescent="0.35">
      <c r="A109" s="7" t="s">
        <v>739</v>
      </c>
    </row>
    <row r="110" spans="1:2" ht="28" x14ac:dyDescent="0.35">
      <c r="A110" s="7" t="s">
        <v>740</v>
      </c>
    </row>
    <row r="111" spans="1:2" x14ac:dyDescent="0.35">
      <c r="A111" s="7" t="s">
        <v>741</v>
      </c>
    </row>
    <row r="113" spans="1:3" ht="15.5" x14ac:dyDescent="0.35">
      <c r="A113" s="13" t="s">
        <v>742</v>
      </c>
    </row>
    <row r="114" spans="1:3" x14ac:dyDescent="0.35">
      <c r="A114" s="6" t="s">
        <v>18</v>
      </c>
      <c r="B114" s="6" t="s">
        <v>21</v>
      </c>
      <c r="C114" s="6" t="s">
        <v>22</v>
      </c>
    </row>
    <row r="115" spans="1:3" x14ac:dyDescent="0.35">
      <c r="A115" s="7" t="s">
        <v>171</v>
      </c>
      <c r="B115" s="7" t="s">
        <v>172</v>
      </c>
      <c r="C115" s="7" t="s">
        <v>475</v>
      </c>
    </row>
    <row r="116" spans="1:3" ht="28" x14ac:dyDescent="0.35">
      <c r="A116" s="7" t="s">
        <v>173</v>
      </c>
      <c r="B116" s="7" t="s">
        <v>174</v>
      </c>
      <c r="C116" s="7" t="s">
        <v>709</v>
      </c>
    </row>
    <row r="117" spans="1:3" ht="28" x14ac:dyDescent="0.35">
      <c r="A117" s="7" t="s">
        <v>175</v>
      </c>
      <c r="B117" s="7" t="s">
        <v>176</v>
      </c>
      <c r="C117" s="7" t="s">
        <v>709</v>
      </c>
    </row>
    <row r="118" spans="1:3" x14ac:dyDescent="0.35">
      <c r="A118" s="7" t="s">
        <v>177</v>
      </c>
      <c r="B118" s="7" t="s">
        <v>178</v>
      </c>
      <c r="C118" s="7" t="s">
        <v>709</v>
      </c>
    </row>
    <row r="119" spans="1:3" ht="28" x14ac:dyDescent="0.35">
      <c r="A119" s="7" t="s">
        <v>179</v>
      </c>
      <c r="B119" s="7" t="s">
        <v>180</v>
      </c>
      <c r="C119" s="7" t="s">
        <v>709</v>
      </c>
    </row>
    <row r="120" spans="1:3" x14ac:dyDescent="0.35">
      <c r="A120" s="7" t="s">
        <v>181</v>
      </c>
      <c r="B120" s="7" t="s">
        <v>182</v>
      </c>
      <c r="C120" s="7" t="s">
        <v>709</v>
      </c>
    </row>
    <row r="121" spans="1:3" ht="28" x14ac:dyDescent="0.35">
      <c r="A121" s="7" t="s">
        <v>183</v>
      </c>
      <c r="B121" s="7" t="s">
        <v>184</v>
      </c>
      <c r="C121" s="7" t="s">
        <v>709</v>
      </c>
    </row>
    <row r="122" spans="1:3" x14ac:dyDescent="0.35">
      <c r="A122" s="7" t="s">
        <v>185</v>
      </c>
      <c r="B122" s="7" t="s">
        <v>186</v>
      </c>
      <c r="C122" s="7" t="s">
        <v>709</v>
      </c>
    </row>
    <row r="123" spans="1:3" x14ac:dyDescent="0.35">
      <c r="A123" s="7" t="s">
        <v>187</v>
      </c>
      <c r="B123" s="7" t="s">
        <v>188</v>
      </c>
      <c r="C123" s="7" t="s">
        <v>475</v>
      </c>
    </row>
    <row r="124" spans="1:3" ht="28" x14ac:dyDescent="0.35">
      <c r="A124" s="7" t="s">
        <v>189</v>
      </c>
      <c r="B124" s="7" t="s">
        <v>190</v>
      </c>
      <c r="C124" s="7" t="s">
        <v>475</v>
      </c>
    </row>
    <row r="125" spans="1:3" ht="28" x14ac:dyDescent="0.35">
      <c r="A125" s="7" t="s">
        <v>191</v>
      </c>
      <c r="B125" s="7" t="s">
        <v>192</v>
      </c>
      <c r="C125" s="7" t="s">
        <v>743</v>
      </c>
    </row>
    <row r="127" spans="1:3" ht="15.5" x14ac:dyDescent="0.35">
      <c r="A127" s="13" t="s">
        <v>744</v>
      </c>
    </row>
    <row r="128" spans="1:3" x14ac:dyDescent="0.35">
      <c r="A128" s="6" t="s">
        <v>18</v>
      </c>
      <c r="B128" s="6" t="s">
        <v>21</v>
      </c>
    </row>
    <row r="129" spans="1:3" ht="28" x14ac:dyDescent="0.35">
      <c r="A129" s="7" t="s">
        <v>193</v>
      </c>
      <c r="B129" s="7" t="s">
        <v>194</v>
      </c>
    </row>
    <row r="130" spans="1:3" ht="28" x14ac:dyDescent="0.35">
      <c r="A130" s="7" t="s">
        <v>195</v>
      </c>
      <c r="B130" s="7" t="s">
        <v>196</v>
      </c>
    </row>
    <row r="131" spans="1:3" ht="28" x14ac:dyDescent="0.35">
      <c r="A131" s="7" t="s">
        <v>197</v>
      </c>
      <c r="B131" s="7" t="s">
        <v>198</v>
      </c>
    </row>
    <row r="132" spans="1:3" x14ac:dyDescent="0.35">
      <c r="A132" s="7" t="s">
        <v>199</v>
      </c>
      <c r="B132" s="7" t="s">
        <v>200</v>
      </c>
    </row>
    <row r="133" spans="1:3" ht="28" x14ac:dyDescent="0.35">
      <c r="A133" s="7" t="s">
        <v>201</v>
      </c>
      <c r="B133" s="7" t="s">
        <v>202</v>
      </c>
    </row>
    <row r="134" spans="1:3" ht="28" x14ac:dyDescent="0.35">
      <c r="A134" s="7" t="s">
        <v>203</v>
      </c>
      <c r="B134" s="7" t="s">
        <v>204</v>
      </c>
    </row>
    <row r="135" spans="1:3" ht="42" x14ac:dyDescent="0.35">
      <c r="A135" s="7" t="s">
        <v>205</v>
      </c>
      <c r="B135" s="7" t="s">
        <v>206</v>
      </c>
    </row>
    <row r="136" spans="1:3" x14ac:dyDescent="0.35">
      <c r="A136" s="7" t="s">
        <v>207</v>
      </c>
      <c r="B136" s="7" t="s">
        <v>208</v>
      </c>
    </row>
    <row r="137" spans="1:3" x14ac:dyDescent="0.35">
      <c r="A137" s="7" t="s">
        <v>209</v>
      </c>
      <c r="B137" s="7" t="s">
        <v>210</v>
      </c>
    </row>
    <row r="139" spans="1:3" ht="15.5" x14ac:dyDescent="0.35">
      <c r="A139" s="13" t="s">
        <v>745</v>
      </c>
    </row>
    <row r="140" spans="1:3" x14ac:dyDescent="0.35">
      <c r="A140" s="6" t="s">
        <v>18</v>
      </c>
      <c r="B140" s="6" t="s">
        <v>21</v>
      </c>
      <c r="C140" s="6" t="s">
        <v>22</v>
      </c>
    </row>
    <row r="141" spans="1:3" x14ac:dyDescent="0.35">
      <c r="A141" s="7" t="s">
        <v>211</v>
      </c>
      <c r="B141" s="7" t="s">
        <v>212</v>
      </c>
      <c r="C141" s="7" t="s">
        <v>475</v>
      </c>
    </row>
    <row r="142" spans="1:3" ht="28" x14ac:dyDescent="0.35">
      <c r="A142" s="7" t="s">
        <v>213</v>
      </c>
      <c r="B142" s="7" t="s">
        <v>214</v>
      </c>
      <c r="C142" s="7" t="s">
        <v>709</v>
      </c>
    </row>
    <row r="143" spans="1:3" x14ac:dyDescent="0.35">
      <c r="A143" s="7" t="s">
        <v>215</v>
      </c>
      <c r="B143" s="7" t="s">
        <v>216</v>
      </c>
      <c r="C143" s="7" t="s">
        <v>746</v>
      </c>
    </row>
    <row r="144" spans="1:3" ht="28" x14ac:dyDescent="0.35">
      <c r="A144" s="7" t="s">
        <v>217</v>
      </c>
      <c r="B144" s="7" t="s">
        <v>218</v>
      </c>
      <c r="C144" s="7" t="s">
        <v>709</v>
      </c>
    </row>
    <row r="145" spans="1:3" x14ac:dyDescent="0.35">
      <c r="A145" s="7" t="s">
        <v>219</v>
      </c>
      <c r="B145" s="7" t="s">
        <v>220</v>
      </c>
      <c r="C145" s="7" t="s">
        <v>709</v>
      </c>
    </row>
    <row r="146" spans="1:3" ht="28" x14ac:dyDescent="0.35">
      <c r="A146" s="7" t="s">
        <v>221</v>
      </c>
      <c r="B146" s="7" t="s">
        <v>222</v>
      </c>
      <c r="C146" s="7" t="s">
        <v>475</v>
      </c>
    </row>
    <row r="147" spans="1:3" x14ac:dyDescent="0.35">
      <c r="A147" s="7" t="s">
        <v>223</v>
      </c>
      <c r="B147" s="7" t="s">
        <v>224</v>
      </c>
      <c r="C147" s="7" t="s">
        <v>709</v>
      </c>
    </row>
    <row r="148" spans="1:3" x14ac:dyDescent="0.35">
      <c r="A148" s="7" t="s">
        <v>225</v>
      </c>
      <c r="B148" s="7" t="s">
        <v>226</v>
      </c>
      <c r="C148" s="7" t="s">
        <v>709</v>
      </c>
    </row>
    <row r="150" spans="1:3" ht="15.5" x14ac:dyDescent="0.35">
      <c r="A150" s="13" t="s">
        <v>747</v>
      </c>
    </row>
    <row r="151" spans="1:3" x14ac:dyDescent="0.35">
      <c r="A151" s="6" t="s">
        <v>18</v>
      </c>
      <c r="B151" s="6" t="s">
        <v>21</v>
      </c>
      <c r="C151" s="6" t="s">
        <v>22</v>
      </c>
    </row>
    <row r="152" spans="1:3" ht="28" x14ac:dyDescent="0.35">
      <c r="A152" s="7" t="s">
        <v>227</v>
      </c>
      <c r="B152" s="7" t="s">
        <v>228</v>
      </c>
      <c r="C152" s="7" t="s">
        <v>475</v>
      </c>
    </row>
    <row r="153" spans="1:3" x14ac:dyDescent="0.35">
      <c r="A153" s="7" t="s">
        <v>229</v>
      </c>
      <c r="B153" s="7" t="s">
        <v>230</v>
      </c>
      <c r="C153" s="7" t="s">
        <v>475</v>
      </c>
    </row>
    <row r="154" spans="1:3" x14ac:dyDescent="0.35">
      <c r="A154" s="7" t="s">
        <v>231</v>
      </c>
      <c r="B154" s="7" t="s">
        <v>232</v>
      </c>
      <c r="C154" s="7" t="s">
        <v>475</v>
      </c>
    </row>
    <row r="155" spans="1:3" ht="28" x14ac:dyDescent="0.35">
      <c r="A155" s="7" t="s">
        <v>233</v>
      </c>
      <c r="B155" s="7" t="s">
        <v>234</v>
      </c>
      <c r="C155" s="7" t="s">
        <v>475</v>
      </c>
    </row>
    <row r="156" spans="1:3" ht="28" x14ac:dyDescent="0.35">
      <c r="A156" s="7" t="s">
        <v>235</v>
      </c>
      <c r="B156" s="7" t="s">
        <v>236</v>
      </c>
      <c r="C156" s="7" t="s">
        <v>475</v>
      </c>
    </row>
    <row r="157" spans="1:3" x14ac:dyDescent="0.35">
      <c r="A157" s="7" t="s">
        <v>237</v>
      </c>
      <c r="B157" s="7" t="s">
        <v>238</v>
      </c>
      <c r="C157" s="7" t="s">
        <v>475</v>
      </c>
    </row>
    <row r="158" spans="1:3" ht="42" x14ac:dyDescent="0.35">
      <c r="A158" s="7" t="s">
        <v>239</v>
      </c>
      <c r="B158" s="7" t="s">
        <v>240</v>
      </c>
      <c r="C158" s="7" t="s">
        <v>743</v>
      </c>
    </row>
    <row r="159" spans="1:3" ht="42" x14ac:dyDescent="0.35">
      <c r="A159" s="7" t="s">
        <v>241</v>
      </c>
      <c r="B159" s="7" t="s">
        <v>242</v>
      </c>
      <c r="C159" s="7" t="s">
        <v>743</v>
      </c>
    </row>
    <row r="160" spans="1:3" ht="42" x14ac:dyDescent="0.35">
      <c r="A160" s="7" t="s">
        <v>243</v>
      </c>
      <c r="B160" s="7" t="s">
        <v>244</v>
      </c>
      <c r="C160" s="7" t="s">
        <v>475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10"/>
  <sheetViews>
    <sheetView workbookViewId="0"/>
  </sheetViews>
  <sheetFormatPr defaultRowHeight="14.5" x14ac:dyDescent="0.35"/>
  <cols>
    <col min="1" max="4" width="70" customWidth="1"/>
  </cols>
  <sheetData>
    <row r="1" spans="1:4" ht="20" x14ac:dyDescent="0.4">
      <c r="A1" s="4" t="s">
        <v>748</v>
      </c>
    </row>
    <row r="3" spans="1:4" x14ac:dyDescent="0.35">
      <c r="A3" s="6" t="s">
        <v>749</v>
      </c>
      <c r="B3" s="6" t="s">
        <v>750</v>
      </c>
      <c r="C3" s="6" t="s">
        <v>751</v>
      </c>
      <c r="D3" s="6" t="s">
        <v>752</v>
      </c>
    </row>
    <row r="4" spans="1:4" x14ac:dyDescent="0.35">
      <c r="A4" s="7" t="s">
        <v>753</v>
      </c>
      <c r="B4" s="7" t="s">
        <v>754</v>
      </c>
      <c r="C4" s="7" t="s">
        <v>755</v>
      </c>
      <c r="D4" s="7" t="s">
        <v>756</v>
      </c>
    </row>
    <row r="5" spans="1:4" x14ac:dyDescent="0.35">
      <c r="A5" s="7" t="s">
        <v>757</v>
      </c>
      <c r="B5" s="7" t="s">
        <v>758</v>
      </c>
      <c r="C5" s="7" t="s">
        <v>759</v>
      </c>
      <c r="D5" s="7" t="s">
        <v>760</v>
      </c>
    </row>
    <row r="6" spans="1:4" ht="42" x14ac:dyDescent="0.35">
      <c r="A6" s="7" t="s">
        <v>390</v>
      </c>
      <c r="B6" s="7" t="s">
        <v>761</v>
      </c>
      <c r="C6" s="7" t="s">
        <v>762</v>
      </c>
      <c r="D6" s="7" t="s">
        <v>763</v>
      </c>
    </row>
    <row r="7" spans="1:4" ht="42" x14ac:dyDescent="0.35">
      <c r="A7" s="7" t="s">
        <v>764</v>
      </c>
      <c r="B7" s="7" t="s">
        <v>765</v>
      </c>
      <c r="C7" s="7" t="s">
        <v>766</v>
      </c>
      <c r="D7" s="7" t="s">
        <v>767</v>
      </c>
    </row>
    <row r="8" spans="1:4" ht="42" x14ac:dyDescent="0.35">
      <c r="A8" s="7" t="s">
        <v>402</v>
      </c>
      <c r="B8" s="7" t="s">
        <v>768</v>
      </c>
      <c r="C8" s="7" t="s">
        <v>769</v>
      </c>
      <c r="D8" s="7" t="s">
        <v>770</v>
      </c>
    </row>
    <row r="10" spans="1:4" x14ac:dyDescent="0.35">
      <c r="A10" s="12" t="s">
        <v>771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16"/>
  <sheetViews>
    <sheetView workbookViewId="0"/>
  </sheetViews>
  <sheetFormatPr defaultRowHeight="14.5" x14ac:dyDescent="0.35"/>
  <cols>
    <col min="1" max="1" width="27" customWidth="1"/>
    <col min="2" max="2" width="70" customWidth="1"/>
  </cols>
  <sheetData>
    <row r="1" spans="1:2" ht="20" x14ac:dyDescent="0.4">
      <c r="A1" s="4" t="s">
        <v>772</v>
      </c>
    </row>
    <row r="3" spans="1:2" x14ac:dyDescent="0.35">
      <c r="A3" s="6" t="s">
        <v>773</v>
      </c>
      <c r="B3" s="6" t="s">
        <v>774</v>
      </c>
    </row>
    <row r="4" spans="1:2" x14ac:dyDescent="0.35">
      <c r="A4" s="7" t="s">
        <v>775</v>
      </c>
      <c r="B4" s="7" t="s">
        <v>776</v>
      </c>
    </row>
    <row r="5" spans="1:2" ht="28" x14ac:dyDescent="0.35">
      <c r="A5" s="7" t="s">
        <v>777</v>
      </c>
      <c r="B5" s="7" t="s">
        <v>778</v>
      </c>
    </row>
    <row r="6" spans="1:2" x14ac:dyDescent="0.35">
      <c r="A6" s="7" t="s">
        <v>779</v>
      </c>
      <c r="B6" s="7" t="s">
        <v>780</v>
      </c>
    </row>
    <row r="7" spans="1:2" x14ac:dyDescent="0.35">
      <c r="A7" s="7" t="s">
        <v>781</v>
      </c>
      <c r="B7" s="7" t="s">
        <v>782</v>
      </c>
    </row>
    <row r="8" spans="1:2" x14ac:dyDescent="0.35">
      <c r="A8" s="7" t="s">
        <v>783</v>
      </c>
      <c r="B8" s="7" t="s">
        <v>784</v>
      </c>
    </row>
    <row r="9" spans="1:2" x14ac:dyDescent="0.35">
      <c r="A9" s="7" t="s">
        <v>785</v>
      </c>
      <c r="B9" s="7" t="s">
        <v>786</v>
      </c>
    </row>
    <row r="10" spans="1:2" x14ac:dyDescent="0.35">
      <c r="A10" s="7" t="s">
        <v>787</v>
      </c>
      <c r="B10" s="7" t="s">
        <v>788</v>
      </c>
    </row>
    <row r="11" spans="1:2" x14ac:dyDescent="0.35">
      <c r="A11" s="7" t="s">
        <v>789</v>
      </c>
      <c r="B11" s="7" t="s">
        <v>790</v>
      </c>
    </row>
    <row r="12" spans="1:2" x14ac:dyDescent="0.35">
      <c r="A12" s="7" t="s">
        <v>791</v>
      </c>
      <c r="B12" s="7" t="s">
        <v>792</v>
      </c>
    </row>
    <row r="13" spans="1:2" x14ac:dyDescent="0.35">
      <c r="A13" s="7" t="s">
        <v>793</v>
      </c>
      <c r="B13" s="7" t="s">
        <v>794</v>
      </c>
    </row>
    <row r="14" spans="1:2" x14ac:dyDescent="0.35">
      <c r="A14" s="7" t="s">
        <v>795</v>
      </c>
      <c r="B14" s="7" t="s">
        <v>796</v>
      </c>
    </row>
    <row r="15" spans="1:2" x14ac:dyDescent="0.35">
      <c r="A15" s="7" t="s">
        <v>797</v>
      </c>
      <c r="B15" s="7" t="s">
        <v>798</v>
      </c>
    </row>
    <row r="16" spans="1:2" x14ac:dyDescent="0.35">
      <c r="A16" s="7" t="s">
        <v>799</v>
      </c>
      <c r="B16" s="7" t="s">
        <v>800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1"/>
  <sheetViews>
    <sheetView workbookViewId="0"/>
  </sheetViews>
  <sheetFormatPr defaultRowHeight="14.5" x14ac:dyDescent="0.35"/>
  <cols>
    <col min="1" max="1" width="8" customWidth="1"/>
    <col min="2" max="2" width="70" customWidth="1"/>
    <col min="3" max="3" width="33" customWidth="1"/>
  </cols>
  <sheetData>
    <row r="1" spans="1:3" ht="20" x14ac:dyDescent="0.4">
      <c r="A1" s="4" t="s">
        <v>801</v>
      </c>
    </row>
    <row r="3" spans="1:3" x14ac:dyDescent="0.35">
      <c r="A3" s="6" t="s">
        <v>18</v>
      </c>
      <c r="B3" s="6" t="s">
        <v>21</v>
      </c>
      <c r="C3" s="6" t="s">
        <v>802</v>
      </c>
    </row>
    <row r="4" spans="1:3" ht="28" x14ac:dyDescent="0.35">
      <c r="A4" s="7" t="s">
        <v>278</v>
      </c>
      <c r="B4" s="7" t="s">
        <v>280</v>
      </c>
      <c r="C4" s="7" t="s">
        <v>803</v>
      </c>
    </row>
    <row r="5" spans="1:3" ht="28" x14ac:dyDescent="0.35">
      <c r="A5" s="7" t="s">
        <v>282</v>
      </c>
      <c r="B5" s="7" t="s">
        <v>283</v>
      </c>
      <c r="C5" s="7" t="s">
        <v>804</v>
      </c>
    </row>
    <row r="6" spans="1:3" ht="28" x14ac:dyDescent="0.35">
      <c r="A6" s="7" t="s">
        <v>284</v>
      </c>
      <c r="B6" s="7" t="s">
        <v>285</v>
      </c>
      <c r="C6" s="7" t="s">
        <v>805</v>
      </c>
    </row>
    <row r="7" spans="1:3" ht="28" x14ac:dyDescent="0.35">
      <c r="A7" s="7" t="s">
        <v>286</v>
      </c>
      <c r="B7" s="7" t="s">
        <v>287</v>
      </c>
      <c r="C7" s="7" t="s">
        <v>806</v>
      </c>
    </row>
    <row r="8" spans="1:3" ht="28" x14ac:dyDescent="0.35">
      <c r="A8" s="7" t="s">
        <v>288</v>
      </c>
      <c r="B8" s="7" t="s">
        <v>289</v>
      </c>
      <c r="C8" s="7" t="s">
        <v>807</v>
      </c>
    </row>
    <row r="9" spans="1:3" ht="28" x14ac:dyDescent="0.35">
      <c r="A9" s="7" t="s">
        <v>290</v>
      </c>
      <c r="B9" s="7" t="s">
        <v>291</v>
      </c>
      <c r="C9" s="7" t="s">
        <v>808</v>
      </c>
    </row>
    <row r="10" spans="1:3" ht="42" x14ac:dyDescent="0.35">
      <c r="A10" s="7" t="s">
        <v>294</v>
      </c>
      <c r="B10" s="7" t="s">
        <v>295</v>
      </c>
      <c r="C10" s="7" t="s">
        <v>809</v>
      </c>
    </row>
    <row r="11" spans="1:3" ht="28" x14ac:dyDescent="0.35">
      <c r="A11" s="7" t="s">
        <v>292</v>
      </c>
      <c r="B11" s="7" t="s">
        <v>293</v>
      </c>
      <c r="C11" s="7" t="s">
        <v>810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21"/>
  <sheetViews>
    <sheetView workbookViewId="0"/>
  </sheetViews>
  <sheetFormatPr defaultRowHeight="14.5" x14ac:dyDescent="0.35"/>
  <cols>
    <col min="1" max="1" width="40" customWidth="1"/>
    <col min="2" max="3" width="70" customWidth="1"/>
  </cols>
  <sheetData>
    <row r="1" spans="1:3" ht="20" x14ac:dyDescent="0.4">
      <c r="A1" s="4" t="s">
        <v>811</v>
      </c>
    </row>
    <row r="3" spans="1:3" x14ac:dyDescent="0.35">
      <c r="A3" s="6" t="s">
        <v>676</v>
      </c>
      <c r="B3" s="6" t="s">
        <v>812</v>
      </c>
      <c r="C3" s="6" t="s">
        <v>813</v>
      </c>
    </row>
    <row r="4" spans="1:3" x14ac:dyDescent="0.35">
      <c r="A4" s="7" t="s">
        <v>87</v>
      </c>
      <c r="B4" s="7" t="s">
        <v>814</v>
      </c>
      <c r="C4" s="7" t="s">
        <v>815</v>
      </c>
    </row>
    <row r="5" spans="1:3" x14ac:dyDescent="0.35">
      <c r="A5" s="7" t="s">
        <v>816</v>
      </c>
      <c r="B5" s="7" t="s">
        <v>817</v>
      </c>
      <c r="C5" s="7" t="s">
        <v>818</v>
      </c>
    </row>
    <row r="6" spans="1:3" x14ac:dyDescent="0.35">
      <c r="A6" s="7" t="s">
        <v>819</v>
      </c>
      <c r="B6" s="7" t="s">
        <v>820</v>
      </c>
      <c r="C6" s="7" t="s">
        <v>821</v>
      </c>
    </row>
    <row r="7" spans="1:3" ht="28" x14ac:dyDescent="0.35">
      <c r="A7" s="7" t="s">
        <v>822</v>
      </c>
      <c r="B7" s="7" t="s">
        <v>823</v>
      </c>
      <c r="C7" s="7" t="s">
        <v>824</v>
      </c>
    </row>
    <row r="8" spans="1:3" x14ac:dyDescent="0.35">
      <c r="A8" s="7" t="s">
        <v>825</v>
      </c>
      <c r="B8" s="7" t="s">
        <v>826</v>
      </c>
      <c r="C8" s="7" t="s">
        <v>827</v>
      </c>
    </row>
    <row r="9" spans="1:3" ht="42" x14ac:dyDescent="0.35">
      <c r="A9" s="7" t="s">
        <v>828</v>
      </c>
      <c r="B9" s="7" t="s">
        <v>829</v>
      </c>
      <c r="C9" s="7" t="s">
        <v>830</v>
      </c>
    </row>
    <row r="10" spans="1:3" ht="28" x14ac:dyDescent="0.35">
      <c r="A10" s="7" t="s">
        <v>260</v>
      </c>
      <c r="B10" s="7" t="s">
        <v>829</v>
      </c>
      <c r="C10" s="7" t="s">
        <v>831</v>
      </c>
    </row>
    <row r="11" spans="1:3" x14ac:dyDescent="0.35">
      <c r="A11" s="7" t="s">
        <v>266</v>
      </c>
      <c r="B11" s="7" t="s">
        <v>333</v>
      </c>
      <c r="C11" s="7" t="s">
        <v>832</v>
      </c>
    </row>
    <row r="12" spans="1:3" x14ac:dyDescent="0.35">
      <c r="A12" s="7" t="s">
        <v>833</v>
      </c>
      <c r="B12" s="7" t="s">
        <v>834</v>
      </c>
      <c r="C12" s="7" t="s">
        <v>835</v>
      </c>
    </row>
    <row r="13" spans="1:3" x14ac:dyDescent="0.35">
      <c r="A13" s="7" t="s">
        <v>227</v>
      </c>
      <c r="B13" s="7" t="s">
        <v>836</v>
      </c>
      <c r="C13" s="7" t="s">
        <v>837</v>
      </c>
    </row>
    <row r="14" spans="1:3" x14ac:dyDescent="0.35">
      <c r="A14" s="7" t="s">
        <v>838</v>
      </c>
      <c r="B14" s="7" t="s">
        <v>333</v>
      </c>
      <c r="C14" s="7" t="s">
        <v>839</v>
      </c>
    </row>
    <row r="15" spans="1:3" x14ac:dyDescent="0.35">
      <c r="A15" s="7" t="s">
        <v>538</v>
      </c>
      <c r="B15" s="7" t="s">
        <v>488</v>
      </c>
      <c r="C15" s="7" t="s">
        <v>840</v>
      </c>
    </row>
    <row r="16" spans="1:3" ht="28" x14ac:dyDescent="0.35">
      <c r="A16" s="7" t="s">
        <v>841</v>
      </c>
      <c r="B16" s="7" t="s">
        <v>842</v>
      </c>
      <c r="C16" s="7" t="s">
        <v>843</v>
      </c>
    </row>
    <row r="17" spans="1:3" ht="28" x14ac:dyDescent="0.35">
      <c r="A17" s="7" t="s">
        <v>844</v>
      </c>
      <c r="B17" s="7" t="s">
        <v>826</v>
      </c>
      <c r="C17" s="7" t="s">
        <v>845</v>
      </c>
    </row>
    <row r="18" spans="1:3" ht="28" x14ac:dyDescent="0.35">
      <c r="A18" s="7" t="s">
        <v>846</v>
      </c>
      <c r="B18" s="7" t="s">
        <v>847</v>
      </c>
      <c r="C18" s="7" t="s">
        <v>848</v>
      </c>
    </row>
    <row r="19" spans="1:3" x14ac:dyDescent="0.35">
      <c r="A19" s="7" t="s">
        <v>167</v>
      </c>
      <c r="B19" s="7" t="s">
        <v>849</v>
      </c>
      <c r="C19" s="7" t="s">
        <v>850</v>
      </c>
    </row>
    <row r="20" spans="1:3" ht="56" x14ac:dyDescent="0.35">
      <c r="A20" s="7" t="s">
        <v>851</v>
      </c>
      <c r="B20" s="7" t="s">
        <v>852</v>
      </c>
      <c r="C20" s="7" t="s">
        <v>853</v>
      </c>
    </row>
    <row r="21" spans="1:3" ht="28" x14ac:dyDescent="0.35">
      <c r="A21" s="7" t="s">
        <v>854</v>
      </c>
      <c r="B21" s="7" t="s">
        <v>855</v>
      </c>
      <c r="C21" s="7" t="s">
        <v>856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Read Me</vt:lpstr>
      <vt:lpstr>Requirements Register</vt:lpstr>
      <vt:lpstr>Traceability</vt:lpstr>
      <vt:lpstr>HLRD 1. Executive summary</vt:lpstr>
      <vt:lpstr>HLRD 2. Discovery</vt:lpstr>
      <vt:lpstr>HLRD 3. As-Is</vt:lpstr>
      <vt:lpstr>HLRD 4. To-Be</vt:lpstr>
      <vt:lpstr>HLRD 5. Scope</vt:lpstr>
      <vt:lpstr>HLRD 6. High-level reqs</vt:lpstr>
      <vt:lpstr>HLRD 7. Stakeholders and RACI</vt:lpstr>
      <vt:lpstr>HLRD 8. Dependencies</vt:lpstr>
      <vt:lpstr>HLRD 9. Risks</vt:lpstr>
      <vt:lpstr>HLRD 10. Acceptance (MVP)</vt:lpstr>
      <vt:lpstr>LLRD 1. Detailed discovery</vt:lpstr>
      <vt:lpstr>LLRD 2. As-Is to To-Be</vt:lpstr>
      <vt:lpstr>LLRD 3. Functional reqs</vt:lpstr>
      <vt:lpstr>LLRD 4. Screen reqs</vt:lpstr>
      <vt:lpstr>LLRD 5. User-facing messages</vt:lpstr>
      <vt:lpstr>LLRD 6. Non-functional reqs</vt:lpstr>
      <vt:lpstr>LLRD 7. Traceability 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Mansi Gupta</cp:lastModifiedBy>
  <dcterms:created xsi:type="dcterms:W3CDTF">2026-09-28T23:51:35Z</dcterms:created>
  <dcterms:modified xsi:type="dcterms:W3CDTF">2026-09-28T23:51:53Z</dcterms:modified>
</cp:coreProperties>
</file>