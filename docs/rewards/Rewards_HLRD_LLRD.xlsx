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nsiGupta\myworld\life-experiences-webpage\docs\rewards\"/>
    </mc:Choice>
  </mc:AlternateContent>
  <xr:revisionPtr revIDLastSave="0" documentId="13_ncr:1_{A893EF0D-AA5E-4F5D-B325-99D66C9D751E}" xr6:coauthVersionLast="47" xr6:coauthVersionMax="47" xr10:uidLastSave="{00000000-0000-0000-0000-000000000000}"/>
  <bookViews>
    <workbookView xWindow="20" yWindow="20" windowWidth="19180" windowHeight="10060" xr2:uid="{00000000-000D-0000-FFFF-FFFF00000000}"/>
  </bookViews>
  <sheets>
    <sheet name="Read Me" sheetId="1" r:id="rId1"/>
    <sheet name="Requirements Register" sheetId="2" r:id="rId2"/>
    <sheet name="Traceability" sheetId="3" r:id="rId3"/>
    <sheet name="HLRD 1. Executive summary" sheetId="4" r:id="rId4"/>
    <sheet name="HLRD 2. Discovery" sheetId="5" r:id="rId5"/>
    <sheet name="HLRD 3. As-Is" sheetId="6" r:id="rId6"/>
    <sheet name="HLRD 4. To-Be" sheetId="7" r:id="rId7"/>
    <sheet name="HLRD 5. Scope" sheetId="8" r:id="rId8"/>
    <sheet name="HLRD 6. High-level reqs" sheetId="9" r:id="rId9"/>
    <sheet name="HLRD 7. Stakeholders and RACI" sheetId="10" r:id="rId10"/>
    <sheet name="HLRD 8. Dependencies" sheetId="11" r:id="rId11"/>
    <sheet name="HLRD 9. Risks" sheetId="12" r:id="rId12"/>
    <sheet name="HLRD 10. Acceptance (MVP)" sheetId="13" r:id="rId13"/>
    <sheet name="LLRD 1. Detailed discovery" sheetId="14" r:id="rId14"/>
    <sheet name="LLRD 2. As-Is to To-Be" sheetId="15" r:id="rId15"/>
    <sheet name="LLRD 3. Functional reqs" sheetId="16" r:id="rId16"/>
    <sheet name="LLRD 4. Screen reqs" sheetId="17" r:id="rId17"/>
    <sheet name="LLRD 5. User-facing messages" sheetId="18" r:id="rId18"/>
    <sheet name="LLRD 6. Non-functional reqs" sheetId="19" r:id="rId19"/>
    <sheet name="LLRD 7. Traceability matrix" sheetId="20" r:id="rId20"/>
  </sheets>
  <definedNames>
    <definedName name="_xlnm._FilterDatabase" localSheetId="1" hidden="1">'Requirements Register'!$A$4:$J$192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3" l="1"/>
  <c r="F16" i="3"/>
  <c r="E16" i="3"/>
  <c r="D16" i="3"/>
  <c r="C16" i="3"/>
  <c r="H16" i="3" s="1"/>
  <c r="B16" i="3"/>
  <c r="G15" i="3"/>
  <c r="F15" i="3"/>
  <c r="E15" i="3"/>
  <c r="D15" i="3"/>
  <c r="C15" i="3"/>
  <c r="B15" i="3"/>
  <c r="G14" i="3"/>
  <c r="F14" i="3"/>
  <c r="E14" i="3"/>
  <c r="D14" i="3"/>
  <c r="C14" i="3"/>
  <c r="B14" i="3"/>
  <c r="G13" i="3"/>
  <c r="F13" i="3"/>
  <c r="E13" i="3"/>
  <c r="D13" i="3"/>
  <c r="C13" i="3"/>
  <c r="B13" i="3"/>
  <c r="G12" i="3"/>
  <c r="F12" i="3"/>
  <c r="E12" i="3"/>
  <c r="D12" i="3"/>
  <c r="C12" i="3"/>
  <c r="B12" i="3"/>
  <c r="G11" i="3"/>
  <c r="F11" i="3"/>
  <c r="E11" i="3"/>
  <c r="D11" i="3"/>
  <c r="C11" i="3"/>
  <c r="B11" i="3"/>
  <c r="G10" i="3"/>
  <c r="F10" i="3"/>
  <c r="E10" i="3"/>
  <c r="D10" i="3"/>
  <c r="C10" i="3"/>
  <c r="H10" i="3" s="1"/>
  <c r="B10" i="3"/>
  <c r="G9" i="3"/>
  <c r="F9" i="3"/>
  <c r="E9" i="3"/>
  <c r="D9" i="3"/>
  <c r="C9" i="3"/>
  <c r="B9" i="3"/>
  <c r="G8" i="3"/>
  <c r="F8" i="3"/>
  <c r="E8" i="3"/>
  <c r="D8" i="3"/>
  <c r="C8" i="3"/>
  <c r="H8" i="3" s="1"/>
  <c r="B8" i="3"/>
  <c r="G7" i="3"/>
  <c r="F7" i="3"/>
  <c r="E7" i="3"/>
  <c r="D7" i="3"/>
  <c r="C7" i="3"/>
  <c r="B7" i="3"/>
  <c r="G6" i="3"/>
  <c r="F6" i="3"/>
  <c r="E6" i="3"/>
  <c r="D6" i="3"/>
  <c r="C6" i="3"/>
  <c r="H6" i="3" s="1"/>
  <c r="B6" i="3"/>
  <c r="G5" i="3"/>
  <c r="F5" i="3"/>
  <c r="E5" i="3"/>
  <c r="E17" i="3" s="1"/>
  <c r="D5" i="3"/>
  <c r="C5" i="3"/>
  <c r="B5" i="3"/>
  <c r="H5" i="3" l="1"/>
  <c r="D17" i="3"/>
  <c r="H9" i="3"/>
  <c r="H13" i="3"/>
  <c r="F17" i="3"/>
  <c r="H12" i="3"/>
  <c r="G17" i="3"/>
  <c r="H7" i="3"/>
  <c r="H11" i="3"/>
  <c r="H15" i="3"/>
  <c r="H14" i="3"/>
  <c r="C17" i="3"/>
  <c r="H17" i="3" s="1"/>
</calcChain>
</file>

<file path=xl/sharedStrings.xml><?xml version="1.0" encoding="utf-8"?>
<sst xmlns="http://schemas.openxmlformats.org/spreadsheetml/2006/main" count="2935" uniqueCount="1180">
  <si>
    <t>Rewards Microfrontend: HLRD and LLRD workbook</t>
  </si>
  <si>
    <t>Generated 2026-09-29 from docs/rewards/HLRD.md and docs/rewards/LLRD.md.</t>
  </si>
  <si>
    <t>How to use this workbook</t>
  </si>
  <si>
    <t>• Requirements Register: one row per requirement. Edit the yellow columns (Requirement, Status, Priority, Owner, Success measure, Notes). Status and Priority are dropdowns.</t>
  </si>
  <si>
    <t>• To add a requirement, add a row at the bottom of the register: give it an ID (e.g. LLR-4.19) and a Parent epic (e.g. HLR-9); the Traceability tab counts it automatically.</t>
  </si>
  <si>
    <t>• Traceability: live formulas per epic (how many requirements, how many built). Don't type over it.</t>
  </si>
  <si>
    <t>• HLRD / LLRD tabs: each section of the documents with its tables, for reading and light edits.</t>
  </si>
  <si>
    <t>• The markdown files remain the source of truth. After editing here, ask Claude to sync your changes back into the markdown (and Miro).</t>
  </si>
  <si>
    <t>Status values</t>
  </si>
  <si>
    <t>Built &amp; tested: implemented with automated tests</t>
  </si>
  <si>
    <t>Built (manual test): implemented, verified by hand in the browser</t>
  </si>
  <si>
    <t>Next: agreed and scheduled next (e.g. HLR-9 reward scope, migrations)</t>
  </si>
  <si>
    <t>Planned: post-MVP (e.g. AI photo suggestions)</t>
  </si>
  <si>
    <t>Out of scope: explicitly not being built</t>
  </si>
  <si>
    <t>Example register row</t>
  </si>
  <si>
    <t>LLR-4.19 | Functional (LLR) | HLR-9 | Reward cards show how many days are left to keep a streak reward alive | Next | Should | Mansi</t>
  </si>
  <si>
    <t>Requirements Register</t>
  </si>
  <si>
    <t>One row per requirement. Yellow columns are yours to edit; Status and Priority have dropdowns.</t>
  </si>
  <si>
    <t>ID</t>
  </si>
  <si>
    <t>Type</t>
  </si>
  <si>
    <t>Parent epic</t>
  </si>
  <si>
    <t>Requirement</t>
  </si>
  <si>
    <t>Status</t>
  </si>
  <si>
    <t>Priority</t>
  </si>
  <si>
    <t>Owner</t>
  </si>
  <si>
    <t>Success measure / acceptance</t>
  </si>
  <si>
    <t>Notes</t>
  </si>
  <si>
    <t>Source</t>
  </si>
  <si>
    <t>BR-1</t>
  </si>
  <si>
    <t>Business requirement</t>
  </si>
  <si>
    <t>Make recurring upkeep visible and motivating</t>
  </si>
  <si>
    <t>Should</t>
  </si>
  <si>
    <t>Mansi</t>
  </si>
  <si>
    <t>≥ 3 active streaks maintained for 2 weeks in personal use</t>
  </si>
  <si>
    <t>HLRD › 6. High-level requirements</t>
  </si>
  <si>
    <t>BR-2</t>
  </si>
  <si>
    <t>Reduce effort to decide what to do in an area</t>
  </si>
  <si>
    <t>Post-MVP: ≥ 50 % of AI suggestions marked Relevant</t>
  </si>
  <si>
    <t>BR-3</t>
  </si>
  <si>
    <t>Provide weekly insight into effort distribution</t>
  </si>
  <si>
    <t>Weekly review done from the dashboard in &lt; 2 min</t>
  </si>
  <si>
    <t>BR-4</t>
  </si>
  <si>
    <t>Demonstrate MFE, BFF, integration and data-app principles (capstone)</t>
  </si>
  <si>
    <t>3-minute demo script runs end to end</t>
  </si>
  <si>
    <t>BR-5</t>
  </si>
  <si>
    <t>Be ready for an Android client without backend rewrite</t>
  </si>
  <si>
    <t>All user actions available via documented API (OpenAPI)</t>
  </si>
  <si>
    <t>HLR-1</t>
  </si>
  <si>
    <t>Epic (HLR)</t>
  </si>
  <si>
    <t>Tiles &amp; areas: User-managed tiles and areas (create, edit, reorder, delete); empty start with an optional starter set</t>
  </si>
  <si>
    <t>Next</t>
  </si>
  <si>
    <t>Must</t>
  </si>
  <si>
    <t>HLR-2</t>
  </si>
  <si>
    <t>Task management: Create, prioritise, filter, change status/frequency/relevance</t>
  </si>
  <si>
    <t>Built &amp; tested</t>
  </si>
  <si>
    <t>HLR-3</t>
  </si>
  <si>
    <t>Completion &amp; streaks: Log completions with note/backfill; activity log; current/best streak</t>
  </si>
  <si>
    <t>HLR-4</t>
  </si>
  <si>
    <t>Rewards: Create, tag, progress, auto-unlock, claim</t>
  </si>
  <si>
    <t>HLR-5</t>
  </si>
  <si>
    <t>Insights dashboard: Aggregates, filters, cached reads, claim from dashboard</t>
  </si>
  <si>
    <t>HLR-6</t>
  </si>
  <si>
    <t>AI task suggestions: Photos → suggestions → decisions → tasks; non-blocking</t>
  </si>
  <si>
    <t>Planned</t>
  </si>
  <si>
    <t>HLR-7</t>
  </si>
  <si>
    <t>Module composition: Independently delivered MFE with host fallback</t>
  </si>
  <si>
    <t>HLR-8</t>
  </si>
  <si>
    <t>API (BFF): Versionable, documented, client-shaped API with demo auth</t>
  </si>
  <si>
    <t>HLR-9</t>
  </si>
  <si>
    <t>Reward scope and matching: Rewards live in the same tiles and areas as tasks; tasks are matched to rewards inside that scope (selected tasks, or all tasks in scope); existing rewards migrated without data loss</t>
  </si>
  <si>
    <t>HLR-10</t>
  </si>
  <si>
    <t>Notes, contacts and files: Every tile and area holds notes, contacts (customer care, service executives, vendors) and files (bills, warranty cards), grouped by topic such as "Bosch Dishwasher", with tap-to-call and search</t>
  </si>
  <si>
    <t>HLR-11</t>
  </si>
  <si>
    <t>Task planning and visibility: Tasks can be milestones (badge, filter, "milestone completed" reward rule, bigger celebration), have a due date and time and a days-to-complete target, and be announced or silent (silent = hidden from the public view and completed without celebration)</t>
  </si>
  <si>
    <t>HLR-12</t>
  </si>
  <si>
    <t>Reward ideas and wishlist: Capture a reward idea in seconds (e.g. a book for Shiragi spotted at the library) without a rule; turn it into a real reward later, or mark it bought or dropped; every reward says who it's for</t>
  </si>
  <si>
    <t>HNFR-1</t>
  </si>
  <si>
    <t>Non-functional (high level)</t>
  </si>
  <si>
    <t>Cross-cutting</t>
  </si>
  <si>
    <t>Usability: Mobile-first; every primary action reachable in ≤ 3 taps from the area screen</t>
  </si>
  <si>
    <t>Built (manual test)</t>
  </si>
  <si>
    <t>HNFR-2</t>
  </si>
  <si>
    <t>Resilience: No single dependency failure (remote, BFF, AI) blanks the host page</t>
  </si>
  <si>
    <t>HNFR-3</t>
  </si>
  <si>
    <t>Performance: Rewards screen interactive ≤ 2 s on local/broadband; dashboard cached reads</t>
  </si>
  <si>
    <t>HNFR-4</t>
  </si>
  <si>
    <t>Security: Secrets server-side only; CORS allow-list; private photo storage</t>
  </si>
  <si>
    <t>HNFR-5</t>
  </si>
  <si>
    <t>Accessibility: WCAG 2.2 AA intent: labels, focus, live regions, contrast, reduced motion</t>
  </si>
  <si>
    <t>HNFR-6</t>
  </si>
  <si>
    <t>Maintainability: Typed contracts; pure, unit-tested business rules; ≥ 1 test per business rule</t>
  </si>
  <si>
    <t>HNFR-7</t>
  </si>
  <si>
    <t>Portability: HTTP/JSON only between tiers; storage swappable (SQLite → Postgres)</t>
  </si>
  <si>
    <t>LLR-1.1</t>
  </si>
  <si>
    <t>Functional (LLR)</t>
  </si>
  <si>
    <t>Superseded by LLR-1.7 (Q15). Was: on first start the system seeds tiles and areas per Q2</t>
  </si>
  <si>
    <t>Out of scope</t>
  </si>
  <si>
    <t>LLRD › 3. Detailed functional requirements</t>
  </si>
  <si>
    <t>LLR-1.2</t>
  </si>
  <si>
    <t>The tiles screen shows each tile's icon, name, area count and active task count</t>
  </si>
  <si>
    <t>LLR-1.3</t>
  </si>
  <si>
    <t>The user can add an area to a tile. The name is 1–80 characters, trimmed, and unique within the tile ignoring case</t>
  </si>
  <si>
    <t>LLR-1.4</t>
  </si>
  <si>
    <t>The user can rename an area under the same rules as LLR-1.3</t>
  </si>
  <si>
    <t>LLR-1.5</t>
  </si>
  <si>
    <t>The user can delete an area after confirmation. Its tasks, completions, photos and suggestions are removed with it</t>
  </si>
  <si>
    <t>LLR-1.6</t>
  </si>
  <si>
    <t>The confirmation text states how many active tasks will be deleted</t>
  </si>
  <si>
    <t>LLR-1.7</t>
  </si>
  <si>
    <t>A new database starts with no tiles. The tiles screen shows "Create your first tile" and an optional Add suggested tiles button. Nothing is seeded automatically</t>
  </si>
  <si>
    <t>LLR-1.8</t>
  </si>
  <si>
    <t>Add suggested tiles adds the starter set (Career/Office/Work with Learning and Projects; Household with the 13 areas in Q2; Fun with Hobbies and Outings). It only adds tiles and areas whose names don't already exist, so it never duplicates or overwrites anything and can be pressed again safely</t>
  </si>
  <si>
    <t>LLR-1.9</t>
  </si>
  <si>
    <t>Create a tile: name 1–40 characters, trimmed, unique ignoring case (409 on duplicate); icon (one emoji, optional, default 📁). New tiles go to the end</t>
  </si>
  <si>
    <t>LLR-1.10</t>
  </si>
  <si>
    <t>Edit a tile: change its name (same rules) and icon. Areas, tasks, rewards and links keep working, because they refer to the tile's id, not its name</t>
  </si>
  <si>
    <t>LLR-1.11</t>
  </si>
  <si>
    <t>Reorder tiles, and areas within a tile (move up/down; drag on wider screens). The order is saved and used everywhere, including the dashboard</t>
  </si>
  <si>
    <t>LLR-1.12</t>
  </si>
  <si>
    <t>Delete a tile: the confirmation lists what will be removed (areas, tasks, completions, rewards scoped to it, notes, contacts, files) and requires typing the tile's name. A database snapshot is taken first (BR-R18)</t>
  </si>
  <si>
    <t>LLR-1.13</t>
  </si>
  <si>
    <t>Existing databases keep their current tiles and areas when this ships: the upgrade removes nothing. They become ordinary user-managed tiles that can be edited or deleted</t>
  </si>
  <si>
    <t>LLR-2.1</t>
  </si>
  <si>
    <t>Create a task with title (1–200 characters, required), notes (≤ 2000), priority (high/medium/low, default medium) and frequency (daily/weekly/one_off, default weekly). Source = manual; status = active; relevance = relevant</t>
  </si>
  <si>
    <t>LLR-2.2</t>
  </si>
  <si>
    <t>After creating a task, the form keeps the chosen priority and frequency for the next entry and clears the title and notes</t>
  </si>
  <si>
    <t>LLR-2.3</t>
  </si>
  <si>
    <t>An area's task list is sorted by priority (high → low), then by creation time</t>
  </si>
  <si>
    <t>LLR-2.4</t>
  </si>
  <si>
    <t>Filter by priority, status and relevance, singly or combined. The default view is status = active</t>
  </si>
  <si>
    <t>LLR-2.5</t>
  </si>
  <si>
    <t>Reprioritise from the list (inline select) or from task detail</t>
  </si>
  <si>
    <t>LLR-2.6</t>
  </si>
  <si>
    <t>Change frequency, status (active/done/archived) and relevance from task detail</t>
  </si>
  <si>
    <t>LLR-2.7</t>
  </si>
  <si>
    <t>An empty list says "No tasks yet" with the default filter and "No tasks match these filters" otherwise</t>
  </si>
  <si>
    <t>LLR-2.8</t>
  </si>
  <si>
    <t>Null values in updates are rejected (422); unknown enum values are rejected (422)</t>
  </si>
  <si>
    <t>LLR-2.9</t>
  </si>
  <si>
    <t>A cross-area list of active tasks, grouped by area, is available for the reward task picker</t>
  </si>
  <si>
    <t>LLR-3.1</t>
  </si>
  <si>
    <t>Complete an active task, optionally with a note (≤ 1000) and a time (completedAt). If no time is given, the time is now</t>
  </si>
  <si>
    <t>LLR-3.2</t>
  </si>
  <si>
    <t>The UI offers *Now*, *Yesterday* and *2 days ago* (same time of day)</t>
  </si>
  <si>
    <t>LLR-3.3</t>
  </si>
  <si>
    <t>A completion more than 1 minute in the future is rejected (422)</t>
  </si>
  <si>
    <t>LLR-3.4</t>
  </si>
  <si>
    <t>Completing a one-off task sets it to done. Further completions are rejected (409)</t>
  </si>
  <si>
    <t>LLR-3.5</t>
  </si>
  <si>
    <t>Completing a done or archived task is rejected with a message naming its status (409)</t>
  </si>
  <si>
    <t>LLR-3.6</t>
  </si>
  <si>
    <t>The activity log lists completions newest first, with local date/time and note</t>
  </si>
  <si>
    <t>LLR-3.7</t>
  </si>
  <si>
    <t>Each task shows completion count, current streak, best streak and last completion time</t>
  </si>
  <si>
    <t>LLR-3.8</t>
  </si>
  <si>
    <t>The area list offers a one-tap ✓ complete (now) for active tasks</t>
  </si>
  <si>
    <t>LLR-4.1</t>
  </si>
  <si>
    <t>Create a reward: title (1–200, required), description (≤ 2000), image URL (≤ 500, optional), rule type (completions or streak), threshold N (1–365), tagged tasks (optional)</t>
  </si>
  <si>
    <t>LLR-4.2</t>
  </si>
  <si>
    <t>Tag or untag tasks as a full replacement of the set. Unknown task ids are rejected (422)</t>
  </si>
  <si>
    <t>LLR-4.3</t>
  </si>
  <si>
    <t>Tag a task to a locked reward from the task detail screen</t>
  </si>
  <si>
    <t>LLR-4.4</t>
  </si>
  <si>
    <t>Show each reward's rule text, progress (current / target, %), status and tagged tasks</t>
  </si>
  <si>
    <t>LLR-4.5</t>
  </si>
  <si>
    <t>Filter the rewards list by status</t>
  </si>
  <si>
    <t>LLR-4.6</t>
  </si>
  <si>
    <t>Claim is only possible when the status is unlocked. Claiming a locked reward is rejected (409). Claiming an already claimed reward changes nothing</t>
  </si>
  <si>
    <t>LLR-4.7</t>
  </si>
  <si>
    <t>When a completion unlocks a reward, the completion response includes it and the UI shows a celebration toast</t>
  </si>
  <si>
    <t>LLR-4.8</t>
  </si>
  <si>
    <t>Editing a reward's tasks is only offered while it's locked</t>
  </si>
  <si>
    <t>LLR-4.9</t>
  </si>
  <si>
    <t>Every reward has a scope from the same taxonomy as tasks: a tile (required: Career/Office/Work, Household or Fun) and optionally one area of that tile (e.g. Household › Kitchen). Creating a reward without a tile is rejected (422); an area from another tile is rejected (422)</t>
  </si>
  <si>
    <t>LLR-4.10</t>
  </si>
  <si>
    <t>Every reward has a match mode: *Selected tasks* (default; the user tags specific tasks) or *All tasks in scope* (every non-archived task in the scope counts automatically, including tasks created later)</t>
  </si>
  <si>
    <t>LLR-4.11</t>
  </si>
  <si>
    <t>In *Selected tasks* mode, only tasks inside the reward's scope can be tagged. Tagging a task outside it is rejected (422) with a message naming the task and the scope</t>
  </si>
  <si>
    <t>LLR-4.12</t>
  </si>
  <si>
    <t>The reward form picks tile, then area (optional, "Whole tile" default), then match mode. The task picker lists only tasks in that scope, grouped by area</t>
  </si>
  <si>
    <t>LLR-4.13</t>
  </si>
  <si>
    <t>Each reward card shows its scope as a breadcrumb (e.g. "Household › Kitchen" or "Fun") and its match mode. The rewards list can be filtered by tile and by area, in addition to status</t>
  </si>
  <si>
    <t>LLR-4.14</t>
  </si>
  <si>
    <t>The area screen shows "Rewards you can earn here": locked or unlocked rewards whose scope is this area or this area's whole tile, with progress</t>
  </si>
  <si>
    <t>LLR-4.15</t>
  </si>
  <si>
    <t>On task detail, "Tag to a reward" offers only locked *Selected tasks* rewards whose scope contains the task. Rewards that match the task automatically (*All tasks in scope*) are listed with the label "Counts automatically"</t>
  </si>
  <si>
    <t>LLR-4.16</t>
  </si>
  <si>
    <t>Scope and match mode can be changed only while the reward is locked. Narrowing the scope removes tags that fall outside it, after the user confirms; the confirmation lists the tasks that will be untagged</t>
  </si>
  <si>
    <t>LLR-4.17</t>
  </si>
  <si>
    <t>Deleting an area doesn't delete rewards scoped to it: they widen to the area's tile (area cleared) and keep their status, rule and remaining tags. Renaming an area changes nothing</t>
  </si>
  <si>
    <t>LLR-4.18</t>
  </si>
  <si>
    <t>Existing rewards are migrated without data loss (schema migration with automatic pre-upgrade backup): if all tagged tasks share one area, scope = that area; else if they share one tile, scope = that tile; otherwise (no tags, or tags across tiles) the reward keeps its tags and is marked *Needs a tile* until the user picks one. No reward, tag, completion or status is deleted</t>
  </si>
  <si>
    <t>LLR-5.1</t>
  </si>
  <si>
    <t>Reads only GET /dashboard/summary; never the database</t>
  </si>
  <si>
    <t>LLR-5.2</t>
  </si>
  <si>
    <t>KPIs: completions (window), active tasks, active streaks, unlocked + claimed rewards, AI acceptance rate (— when undefined)</t>
  </si>
  <si>
    <t>LLR-5.3</t>
  </si>
  <si>
    <t>Charts: completions by tile, by area (filterable by tile) and per day (empty days shown as gaps). Hover tooltips on every mark</t>
  </si>
  <si>
    <t>LLR-5.4</t>
  </si>
  <si>
    <t>Tables: active streaks (filterable by tile); reward progress with a progress bar</t>
  </si>
  <si>
    <t>LLR-5.5</t>
  </si>
  <si>
    <t>Filters: window (7/30/90 days/all time) and tile. They survive reruns (session_state)</t>
  </si>
  <si>
    <t>LLR-5.6</t>
  </si>
  <si>
    <t>Responses are cached 30 s per window. *Refresh now* clears the cache</t>
  </si>
  <si>
    <t>LLR-5.7</t>
  </si>
  <si>
    <t>Unlocked rewards can be claimed from the dashboard. After claiming, the cache is cleared and the page shows fresh data</t>
  </si>
  <si>
    <t>LLR-5.8</t>
  </si>
  <si>
    <t>If the BFF is unreachable, show the error and *Try again* (no stack traces)</t>
  </si>
  <si>
    <t>LLR-5.9</t>
  </si>
  <si>
    <t>Streaks and rewards ignore the window; completion aggregates respect it</t>
  </si>
  <si>
    <t>LLR-5.10</t>
  </si>
  <si>
    <t>Summary payload is flat snake_case records; React endpoints are camelCase (per-client shaping)</t>
  </si>
  <si>
    <t>LLR-5.11</t>
  </si>
  <si>
    <t>Reward progress rows include the reward's tile and area; the dashboard's tile filter applies to rewards as well as completions and streaks</t>
  </si>
  <si>
    <t>LLR-6.1</t>
  </si>
  <si>
    <t>Attach 1–5 photos per run to an area (JPEG/PNG/WebP, ≤ 5 MB each; type checked by content, not extension)</t>
  </si>
  <si>
    <t>LLR-6.2</t>
  </si>
  <si>
    <t>Photos are stored privately with random names and are never publicly addressable</t>
  </si>
  <si>
    <t>LLR-6.3</t>
  </si>
  <si>
    <t>Starting a suggestion run returns immediately (202) with a run id; the UI shows a loading state</t>
  </si>
  <si>
    <t>LLR-6.4</t>
  </si>
  <si>
    <t>While a run is in progress, the manual *Add a task* form stays fully usable</t>
  </si>
  <si>
    <t>LLR-6.5</t>
  </si>
  <si>
    <t>Each suggestion has a title (≤ 200), why (≤ 500), priority and frequency, validated against a strict schema</t>
  </si>
  <si>
    <t>LLR-6.6</t>
  </si>
  <si>
    <t>The user marks each suggestion Relevant / Not relevant / Ignore. Relevant creates a task with source = ai. A decision is final (409 on re-decide)</t>
  </si>
  <si>
    <t>LLR-6.7</t>
  </si>
  <si>
    <t>On timeout (30 s), invalid output or missing API key: retry once where sensible, then show "AI suggestions unavailable, add tasks manually". The page never breaks</t>
  </si>
  <si>
    <t>LLR-6.8</t>
  </si>
  <si>
    <t>The API key exists only in BFF environment variables</t>
  </si>
  <si>
    <t>LLR-6.9</t>
  </si>
  <si>
    <t>Decisions feed the dashboard acceptance rate (relevant ÷ decided)</t>
  </si>
  <si>
    <t>LLR-7.1</t>
  </si>
  <si>
    <t>The MFE is built separately and exposes ./RewardsApp via remoteEntry.js</t>
  </si>
  <si>
    <t>LLR-7.2</t>
  </si>
  <si>
    <t>The host mounts it on #/rewards and every #/rewards/*. The nav item stays active on sub-routes</t>
  </si>
  <si>
    <t>LLR-7.3</t>
  </si>
  <si>
    <t>Host and remote share one React instance; the remote bundles no React</t>
  </si>
  <si>
    <t>LLR-7.4</t>
  </si>
  <si>
    <t>If the remote fails to load, the host shows "Rewards is unavailable right now" and a reload button. Other pages are unaffected</t>
  </si>
  <si>
    <t>LLR-7.5</t>
  </si>
  <si>
    <t>MFE styles are scoped (.rw-app) and don't alter host styles</t>
  </si>
  <si>
    <t>LLR-7.6</t>
  </si>
  <si>
    <t>The remote URL is configurable per environment (VITE_REWARDS_REMOTE_URL)</t>
  </si>
  <si>
    <t>LLR-7.7</t>
  </si>
  <si>
    <t>The MFE runs standalone for development (npm run dev)</t>
  </si>
  <si>
    <t>LLR-7.8</t>
  </si>
  <si>
    <t>Every screen has loading, error (with retry) and empty states</t>
  </si>
  <si>
    <t>LLR-8.1</t>
  </si>
  <si>
    <t>Every endpoint except /health needs Authorization: Bearer &lt;demo token&gt;; otherwise 401</t>
  </si>
  <si>
    <t>LLR-8.2</t>
  </si>
  <si>
    <t>CORS allows only the configured origins</t>
  </si>
  <si>
    <t>LLR-8.3</t>
  </si>
  <si>
    <t>OpenAPI documentation is served at /docs</t>
  </si>
  <si>
    <t>LLR-8.4</t>
  </si>
  <si>
    <t>Errors use {detail} with status codes 401, 404, 409 and 422 as catalogued in LLD §3.3</t>
  </si>
  <si>
    <t>LLR-8.5</t>
  </si>
  <si>
    <t>Request bodies accept camelCase or snake_case. React responses are camelCase; dashboard responses are snake_case</t>
  </si>
  <si>
    <t>LLR-8.6</t>
  </si>
  <si>
    <t>Timestamps are ISO-8601 UTC in responses</t>
  </si>
  <si>
    <t>LLR-8.7</t>
  </si>
  <si>
    <t>Reward create/update accept categoryId (required on create), areaId (optional) and match (selected | all_in_scope); reward responses include scope {categoryId, categoryName, areaId, areaName}, match and needsTile</t>
  </si>
  <si>
    <t>LLR-8.8</t>
  </si>
  <si>
    <t>GET /rewards accepts categoryId and areaId filters. GET /areas/{id}/rewards returns the rewards that match that area (LLR-4.14). Task detail's rewards lists every reward matching the task, with how it matches (tagged or scope)</t>
  </si>
  <si>
    <t>LLR-8.9</t>
  </si>
  <si>
    <t>Schema changes are applied by versioned migrations on startup, never by dropping and recreating tables; a backup of the database file is written before each upgrade (Q14)</t>
  </si>
  <si>
    <t>LLR-8.10</t>
  </si>
  <si>
    <t>Tile endpoints: POST /categories, PATCH /categories/{id} (name, icon), DELETE /categories/{id}, PUT /categories/order and PUT /categories/{id}/areas/order, POST /categories/starter (LLR-1.8, returns what was added)</t>
  </si>
  <si>
    <t>LLR-8.11</t>
  </si>
  <si>
    <t>Details endpoints for both owners (/categories/{id} and /areas/{id}): …/details (grouped by topic), …/notes, …/contacts, …/files (multipart upload); PATCH/DELETE on /notes/{id}, /contacts/{id}, /files/{id}; GET /files/{id}/download; GET /search?q=</t>
  </si>
  <si>
    <t>LLR-8.12</t>
  </si>
  <si>
    <t>Task create/update accept isMilestone, visibility (announced | silent), dueAt (ISO date-time, optional) and targetDays (optional); GET /areas/{id}/tasks adds filters milestone=true and due=overdue|today|week and sort=due. Responses served without the passcode omit silent tasks entirely (BR-R23)</t>
  </si>
  <si>
    <t>LLR-8.13</t>
  </si>
  <si>
    <t>Rewards accept status: "idea" on create (rule, threshold and tile then optional), forWhom, visibility, link, seenAt (where seen) and a cover image; POST /rewards/{id}/activate (rule, threshold, tile, tasks) turns an idea into a locked reward; POST /rewards/{id}/close with outcome (bought | dropped); GET /rewards filters status=idea|closed and forWhom=</t>
  </si>
  <si>
    <t>LLR-10.1</t>
  </si>
  <si>
    <t>The tile screen and the area screen each have a Notes &amp; contacts tab next to their main content. It lists topics as groups (items without a topic under "General"), each showing its contacts, files and notes</t>
  </si>
  <si>
    <t>LLR-10.2</t>
  </si>
  <si>
    <t>Topic is free text (1–60 characters), optional, and offers existing topics from the same tile or area as suggestions, so "Bosch Dishwasher" isn't typed three different ways</t>
  </si>
  <si>
    <t>LLR-10.3</t>
  </si>
  <si>
    <t>Contact: name (required, 1–80); organisation or brand (e.g. Bosch, Kent, IFB, LG); role (*Customer care*, *Service executive*, *Technician*, *Vendor or shop*, *Other*); up to 3 phone numbers with labels (mobile, toll-free, WhatsApp); email; website; last visit or contact date; notes (≤ 1000); topic</t>
  </si>
  <si>
    <t>LLR-10.4</t>
  </si>
  <si>
    <t>Phone numbers are stored as entered and shown with actions: Call (tel:), WhatsApp (wa.me, for numbers marked WhatsApp) and Copy. Email gets Email (mailto:). All actions are one tap on a phone</t>
  </si>
  <si>
    <t>LLR-10.5</t>
  </si>
  <si>
    <t>Past executives: within a topic, contacts with the role *Service executive* or *Technician* are listed newest last-visit first. The topic header shows the last executive (name, date, call button)</t>
  </si>
  <si>
    <t>LLR-10.6</t>
  </si>
  <si>
    <t>Note: text 1–5000 characters, optional title and topic; shows created and last-edited time; newest first</t>
  </si>
  <si>
    <t>LLR-10.7</t>
  </si>
  <si>
    <t>File (bills, invoices, warranty cards, manuals): PDF, JPG, PNG, WebP or HEIC, up to 10 MB each, checked by content; title (required), optional date, amount (₹) and topic. Files open in the browser or download; images show a thumbnail</t>
  </si>
  <si>
    <t>LLR-10.8</t>
  </si>
  <si>
    <t>Notes, contacts and files can be edited and deleted (with confirmation), and moved between topics by editing the topic</t>
  </si>
  <si>
    <t>LLR-10.9</t>
  </si>
  <si>
    <t>Search across every tile and area by contact name, organisation, topic, phone digits (spaces and dashes ignored), note text and file title. Results show where each hit lives (e.g. "Household › Kitchen › Bosch Dishwasher") and link to it</t>
  </si>
  <si>
    <t>LLR-10.10</t>
  </si>
  <si>
    <t>Deleting an area or tile deletes its notes, contacts and files, and the confirmation counts them (LLR-1.12). Stored files are removed only after the database change commits</t>
  </si>
  <si>
    <t>LLR-10.11</t>
  </si>
  <si>
    <t>Visibility follows the rewards setting (Q17): readable in the read-only view when public reads are on; creating, editing, deleting and uploading need the owner passcode</t>
  </si>
  <si>
    <t>LLR-10.12</t>
  </si>
  <si>
    <t>The JSON export (app.backup) includes notes and contacts, and lists files by title and stored name; the server backup covers the files folder as well as the database</t>
  </si>
  <si>
    <t>LLR-11.1</t>
  </si>
  <si>
    <t>Milestone: yes/no (default no), set when creating or editing a task</t>
  </si>
  <si>
    <t>LLR-11.2</t>
  </si>
  <si>
    <t>Milestones show a 🏁 badge on task rows and task detail. The area task list has a Milestones only filter, and the dashboard has a *Milestones* table (title, tile › area, due, done / overdue / upcoming)</t>
  </si>
  <si>
    <t>LLR-11.3</t>
  </si>
  <si>
    <t>Completing an announced milestone shows the milestone celebration: a larger, longer celebration than a normal completion (respects reduced motion), with its own share prompt</t>
  </si>
  <si>
    <t>LLR-11.4</t>
  </si>
  <si>
    <t>New reward rule Milestone completed (alongside *N completions* and *streak of N*). The reward unlocks when every milestone task it matches has at least one completion (BR-R25). Creating one that matches no milestone task is rejected (422)</t>
  </si>
  <si>
    <t>LLR-11.5</t>
  </si>
  <si>
    <t>Announce or keep silent: each task is *Announced* (default) or *Silent*, set when creating or editing it (Q20, Q22)</t>
  </si>
  <si>
    <t>LLR-11.6</t>
  </si>
  <si>
    <t>Silent tasks and their completions never appear in anything served without the owner passcode: lists, counts, streaks, activity, dashboard aggregates or reward task lists (BR-R23). With the passcode they're shown with a 🔕 marker</t>
  </si>
  <si>
    <t>LLR-11.7</t>
  </si>
  <si>
    <t>Completing an announced task shows the celebration toast and a Share on WhatsApp prompt (prefilled text, e.g. "Done: Wipe counters 🔥 3-day streak"). Completing a silent task shows only a quiet "Logged" confirmation, with no share prompt (BR-R24)</t>
  </si>
  <si>
    <t>LLR-11.8</t>
  </si>
  <si>
    <t>Due date and time (optional): a local date and time, stored in UTC. Tasks show a chip: *Overdue* (red), *Due today*, *Due in N days* (within 7 days) or the date. The area list can be filtered by *Overdue*, *Due today* and *Due this week*, and sorted by due date</t>
  </si>
  <si>
    <t>LLR-11.9</t>
  </si>
  <si>
    <t>Days to complete (optional): a whole number from 1 to 3650, shown as "Planned: N days". Task detail also shows "Day X of N", counted from the task's creation date</t>
  </si>
  <si>
    <t>LLR-11.10</t>
  </si>
  <si>
    <t>Due date and days to complete are independent: changing one never changes the other, and they may disagree (Q21, BR-R26)</t>
  </si>
  <si>
    <t>LLR-11.11</t>
  </si>
  <si>
    <t>All four attributes can be edited on task detail at any time. A due date in the past is allowed (the task is simply overdue)</t>
  </si>
  <si>
    <t>LLR-11.12</t>
  </si>
  <si>
    <t>Existing tasks are migrated without data loss: milestone = no, visibility = announced, no due date, no days to complete. Nothing else changes</t>
  </si>
  <si>
    <t>LLR-11.13</t>
  </si>
  <si>
    <t>The dashboard adds an Overdue KPI and the *Milestones* table (LLR-11.2); the owner-only dashboard includes silent tasks, marked 🔕</t>
  </si>
  <si>
    <t>LLR-12.1</t>
  </si>
  <si>
    <t>Quick capture: a "+ Idea" button on the Rewards tab and on every tile and area screen opens a short form: title (required, 1–200), then optional for whom, notes (≤ 2000), link (URL), cover photo (camera or gallery, via the file rules of LLR-10.7), where seen (e.g. "City library") and tile/area. Saving needs only the title</t>
  </si>
  <si>
    <t>LLR-12.2</t>
  </si>
  <si>
    <t>For whom on every reward and idea: free text (1–40) with suggestions from earlier entries; default "Me" (Q25)</t>
  </si>
  <si>
    <t>LLR-12.3</t>
  </si>
  <si>
    <t>Ideas have status Idea: no rule, no progress and no tasks, and they never unlock or appear in progress counts (BR-R27)</t>
  </si>
  <si>
    <t>LLR-12.4</t>
  </si>
  <si>
    <t>The Rewards tab has an Ideas filter (and *Closed* for bought or dropped ideas), and can be filtered by for whom, e.g. "Shiragi's ideas and rewards". Tile and area screens list their ideas under "Rewards you can earn here" in a separate *Ideas* group</t>
  </si>
  <si>
    <t>LLR-12.5</t>
  </si>
  <si>
    <t>Turn into a reward: from an idea, add a rule (N completions, streak of N or milestone completed), a threshold, a tile (and optional area) and tasks. It becomes a normal *locked* reward, keeping its title, photo, link, notes and for whom; the unlock check runs straight away (BR-R28)</t>
  </si>
  <si>
    <t>LLR-12.6</t>
  </si>
  <si>
    <t>Close an idea as *Bought* (got it without a rule) or *Dropped* (no longer wanted). Closed ideas leave the Ideas list, stay under *Closed* with the date and outcome, and can be reopened (BR-R29)</t>
  </si>
  <si>
    <t>LLR-12.7</t>
  </si>
  <si>
    <t>Ideas are Silent by default (hidden from the read-only view) and can be switched to *Announced*; ordinary rewards default to *Announced*. Visibility follows the silent rules of BR-R23 (Q24)</t>
  </si>
  <si>
    <t>LLR-12.8</t>
  </si>
  <si>
    <t>Ideas are included in search (LLR-10.9) by title, notes, for whom and where seen</t>
  </si>
  <si>
    <t>LLR-12.9</t>
  </si>
  <si>
    <t>Existing rewards are migrated without data loss: for whom = "Me", visibility = announced; their status, rule, tasks and progress are unchanged</t>
  </si>
  <si>
    <t>BR-R1</t>
  </si>
  <si>
    <t>Business rule</t>
  </si>
  <si>
    <t>A period is a local calendar day (daily) or a Monday–Sunday week (weekly) in BFF_TIMEZONE</t>
  </si>
  <si>
    <t>BR-R2</t>
  </si>
  <si>
    <t>Several completions in one period count once towards the streak (they all count towards completion count)</t>
  </si>
  <si>
    <t>BR-R3</t>
  </si>
  <si>
    <t>Best streak = longest run of consecutive periods with ≥ 1 completion</t>
  </si>
  <si>
    <t>BR-R4</t>
  </si>
  <si>
    <t>Current streak = the run ending at the latest completed period, if that period is the current or the previous one; otherwise 0</t>
  </si>
  <si>
    <t>BR-R5</t>
  </si>
  <si>
    <t>One-off tasks: streak = 1 once completed, else 0 (not shown as an active streak)</t>
  </si>
  <si>
    <t>BR-R6</t>
  </si>
  <si>
    <t>Streaks are derived from the activity log on every read (never stored)</t>
  </si>
  <si>
    <t>BR-R7</t>
  </si>
  <si>
    <t>*Completions* rule progress = total completions of all tagged tasks (all-time)</t>
  </si>
  <si>
    <t>BR-R8</t>
  </si>
  <si>
    <t>*Streak* rule progress = the highest current streak among tagged tasks</t>
  </si>
  <si>
    <t>BR-R9</t>
  </si>
  <si>
    <t>The unlock check runs on task completion, reward creation, reward update and tag change</t>
  </si>
  <si>
    <t>BR-R10</t>
  </si>
  <si>
    <t>Status flow locked → unlocked → claimed only; there's no path back</t>
  </si>
  <si>
    <t>BR-R11</t>
  </si>
  <si>
    <t>Unlocked and claimed rewards always show 100 %</t>
  </si>
  <si>
    <t>BR-R12</t>
  </si>
  <si>
    <t>Scope containment. A task is in a reward's scope when the task's area belongs to the reward's tile and, if the reward has an area, the task's area *is* that area</t>
  </si>
  <si>
    <t>BR-R13</t>
  </si>
  <si>
    <t>Matched tasks. *Selected tasks*: the tagged tasks (all in scope). *All tasks in scope*: every task in scope whose status isn't archived. BR-R7 and BR-R8 compute progress over the matched tasks</t>
  </si>
  <si>
    <t>BR-R14</t>
  </si>
  <si>
    <t>In *All tasks in scope* mode, tags are ignored for progress (they're kept, so switching back to *Selected tasks* restores them)</t>
  </si>
  <si>
    <t>BR-R15</t>
  </si>
  <si>
    <t>The unlock check (BR-R9) on completion evaluates every locked reward that matches the completed task, whether tagged or by scope</t>
  </si>
  <si>
    <t>BR-R16</t>
  </si>
  <si>
    <t>A reward marked *Needs a tile* (LLR-4.18) still shows progress from its tags, but can't be edited until a tile is chosen. It never unlocks from tasks outside the tile the user then picks</t>
  </si>
  <si>
    <t>BR-R17</t>
  </si>
  <si>
    <t>Tile names are unique ignoring case; area names are unique within their tile ignoring case</t>
  </si>
  <si>
    <t>BR-R18</t>
  </si>
  <si>
    <t>Deleting a tile removes everything under it (areas, tasks, completions, rewards scoped to it, notes, contacts, files) in one transaction, after a database snapshot is saved to data/backups/</t>
  </si>
  <si>
    <t>BR-R19</t>
  </si>
  <si>
    <t>The starter set only adds tiles and areas whose names are missing; it never renames, merges or deletes</t>
  </si>
  <si>
    <t>BR-R20</t>
  </si>
  <si>
    <t>Details belong to exactly one owner: a tile or an area. Moving an area to another tile isn't supported, so details never change tile</t>
  </si>
  <si>
    <t>BR-R21</t>
  </si>
  <si>
    <t>The "last executive" of a topic is the *Service executive* or *Technician* contact in that topic with the latest last-visit date; contacts without a date come after dated ones</t>
  </si>
  <si>
    <t>BR-R22</t>
  </si>
  <si>
    <t>A task is overdue when it's active, has a due date, and the due date is before now. Done and archived tasks are never overdue</t>
  </si>
  <si>
    <t>BR-R23</t>
  </si>
  <si>
    <t>Silent means invisible without the passcode: silent tasks, their completions, streaks and activity are excluded from every response to a caller without the owner passcode, including counts and aggregates, so their existence can't be inferred</t>
  </si>
  <si>
    <t>BR-R24</t>
  </si>
  <si>
    <t>Celebrations and share prompts happen only for announced tasks. A reward unlocked by a silent task's completion is unlocked quietly (no share prompt); the reward itself stays visible</t>
  </si>
  <si>
    <t>BR-R25</t>
  </si>
  <si>
    <t>A Milestone completed reward unlocks when every milestone task it matches (tagged, or in scope with *All tasks in scope*) has ≥ 1 completion. Non-milestone tasks tagged to it don't count. Progress = milestones completed ÷ milestones matched</t>
  </si>
  <si>
    <t>BR-R26</t>
  </si>
  <si>
    <t>Due date and days to complete are never derived from each other or from the frequency</t>
  </si>
  <si>
    <t>BR-R27</t>
  </si>
  <si>
    <t>An *Idea* has no rule and no progress. It can't unlock or be claimed, and it isn't counted in reward totals or progress on the dashboard (the dashboard shows an *Ideas* count per person)</t>
  </si>
  <si>
    <t>BR-R28</t>
  </si>
  <si>
    <t>Turning an idea into a reward requires a rule, a threshold (except *milestone completed*) and a tile (LLR-4.9); the idea's id is kept, so links and photos stay attached</t>
  </si>
  <si>
    <t>BR-R29</t>
  </si>
  <si>
    <t>Closing is only for ideas; a reward that already has a rule is claimed, not closed. Reopening a closed idea returns it to *Idea*</t>
  </si>
  <si>
    <t>BR-R30</t>
  </si>
  <si>
    <t>*For whom* is a label: it groups and filters rewards, but never changes who can see or edit them (visibility rules decide that)</t>
  </si>
  <si>
    <t>NFR-D1</t>
  </si>
  <si>
    <t>Non-functional (detailed)</t>
  </si>
  <si>
    <t>Remote exposed chunk ≤ 50 KB gzip (now ~11 KB)</t>
  </si>
  <si>
    <t>LLRD › 6. Detailed non-functional requirements</t>
  </si>
  <si>
    <t>NFR-D2</t>
  </si>
  <si>
    <t>Remote load after navigating to #/rewards ≤ 500 ms locally (measured ~36 ms client-side nav, ~275 ms cold)</t>
  </si>
  <si>
    <t>NFR-D3</t>
  </si>
  <si>
    <t>Dashboard issues ≤ 1 BFF read per window per 30 s</t>
  </si>
  <si>
    <t>NFR-D4</t>
  </si>
  <si>
    <t>No horizontal scroll at 375 px width</t>
  </si>
  <si>
    <t>NFR-D5</t>
  </si>
  <si>
    <t>Stats for N tasks use one activity query (no N+1)</t>
  </si>
  <si>
    <t>NFR-D6</t>
  </si>
  <si>
    <t>Every business rule BR-R1…R30 has ≥ 1 automated test</t>
  </si>
  <si>
    <t>NFR-D7</t>
  </si>
  <si>
    <t>Naive datetimes never reach storage</t>
  </si>
  <si>
    <t>NFR-D8</t>
  </si>
  <si>
    <t>No schema change may delete or rewrite existing rows except as specified (LLR-4.18); every migration has an upgrade test run against a copy of a pre-migration database</t>
  </si>
  <si>
    <t>NFR-D9</t>
  </si>
  <si>
    <t>Uploaded files are stored outside any public web folder with random names, served only through the BFF, and count against a 2 GB soft limit on the droplet (warning shown); moving to object storage later changes no requirement</t>
  </si>
  <si>
    <t>NFR-D10</t>
  </si>
  <si>
    <t>Search over notes, contacts and files returns in ≤ 300 ms for 5,000 items</t>
  </si>
  <si>
    <t>NFR-D11</t>
  </si>
  <si>
    <t>Every read endpoint has a test that a silent task leaves no trace (item, count or aggregate) in its response without the passcode</t>
  </si>
  <si>
    <t>Traceability by epic</t>
  </si>
  <si>
    <t>Counts are live formulas over the Requirements Register; change a status there and this updates.</t>
  </si>
  <si>
    <t>Epic</t>
  </si>
  <si>
    <t>Title</t>
  </si>
  <si>
    <t>LLRs + rules</t>
  </si>
  <si>
    <t>Built (manual)</t>
  </si>
  <si>
    <t>% built</t>
  </si>
  <si>
    <t>Total</t>
  </si>
  <si>
    <t>1. Executive summary</t>
  </si>
  <si>
    <t>Home, career and fun tasks are tracked informally today. Rewards for keeping up are ad hoc, and there's no visibility of consistency. An earlier in-site "Reward Goals" feature existed, but it was goal-centric, tightly coupled to the main site and its Neo4j backend, and not reusable by other clients.</t>
  </si>
  <si>
    <t>This capstone replaces it with a Rewards microfrontend:</t>
  </si>
  <si>
    <t>• a React module loaded into the site at runtime;</t>
  </si>
  <si>
    <t>• a Backend-for-Frontend that serves the web UI, an analytics dashboard and a future Android app;</t>
  </si>
  <si>
    <t>• integration services (AI photo → task suggestions, reminders) behind resilient adapters.</t>
  </si>
  <si>
    <t>2. Discovery</t>
  </si>
  <si>
    <t>2.1 Problem statement</t>
  </si>
  <si>
    <t>*As a busy working parent, I want to turn the upkeep of each part of my home, career and leisure into small recurring tasks, see my consistency, and reward myself when I keep it up, without the tool becoming another chore.*</t>
  </si>
  <si>
    <t>2.2 Personas</t>
  </si>
  <si>
    <t>Persona</t>
  </si>
  <si>
    <t>Context</t>
  </si>
  <si>
    <t>Needs</t>
  </si>
  <si>
    <t>Frustrations</t>
  </si>
  <si>
    <t>Mansi, primary user</t>
  </si>
  <si>
    <t>Working parent; manages household areas (kitchen, laundry, kids' toys), career learning, hobbies</t>
  </si>
  <si>
    <t>Quick capture on a phone, see what's due, feel progress, self-set treats</t>
  </si>
  <si>
    <t>Lists get stale; no sense of streaks; motivation fades mid-week</t>
  </si>
  <si>
    <t>Mansi, reviewer (weekly)</t>
  </si>
  <si>
    <t>Sunday reflection</t>
  </si>
  <si>
    <t>Where did effort go? Which streaks are alive? Which rewards are close?</t>
  </si>
  <si>
    <t>No aggregate view; can't see neglected areas</t>
  </si>
  <si>
    <t>Capstone evaluator</t>
  </si>
  <si>
    <t>Assesses architecture</t>
  </si>
  <si>
    <t>Clear demonstration of MFE, BFF, integration and data-app principles</t>
  </si>
  <si>
    <t>Monoliths that "claim" microfrontends</t>
  </si>
  <si>
    <t>Future: family member (out of scope)</t>
  </si>
  <si>
    <t>Shares household areas</t>
  </si>
  <si>
    <t>Assigned tasks, own rewards</t>
  </si>
  <si>
    <t>—</t>
  </si>
  <si>
    <t>2.3 Discovery findings</t>
  </si>
  <si>
    <t>#</t>
  </si>
  <si>
    <t>Finding</t>
  </si>
  <si>
    <t>Implication</t>
  </si>
  <si>
    <t>D1</t>
  </si>
  <si>
    <t>Codebase audit (main)</t>
  </si>
  <si>
    <t>An existing in-site Rewards feature: goals with target days, daily logs, milestones, ₹-valued rewards, 6 fixed categories</t>
  </si>
  <si>
    <t>Validates the need; its goal model doesn't fit recurring upkeep of physical areas</t>
  </si>
  <si>
    <t>D2</t>
  </si>
  <si>
    <t>Codebase audit</t>
  </si>
  <si>
    <t>Old feature bundled in the host, dark inline styles, Express + Neo4j API shared with the Weekend Picks backend</t>
  </si>
  <si>
    <t>Can't deploy, scale or fail independently; heavy infrastructure for simple relational data</t>
  </si>
  <si>
    <t>D3</t>
  </si>
  <si>
    <t>Passcode gate built but disabled; no auth in practice</t>
  </si>
  <si>
    <t>Demo-level token is acceptable for MVP; real auth later</t>
  </si>
  <si>
    <t>D4</t>
  </si>
  <si>
    <t>Branch audit</t>
  </si>
  <si>
    <t>An abandoned Next.js "reward-system" scaffold (React 18) that couldn't be federated into the Vite/React 19 host</t>
  </si>
  <si>
    <t>Choose Vite-native federation; keep React versions aligned</t>
  </si>
  <si>
    <t>D5</t>
  </si>
  <si>
    <t>User interview (self)</t>
  </si>
  <si>
    <t>Upkeep is area-based (Kitchen, Wardrobe, Shiragi Toys) not goal-based; frequencies differ (daily vs weekly vs one-off)</t>
  </si>
  <si>
    <t>Tiles → areas → tasks model with per-task frequency</t>
  </si>
  <si>
    <t>D6</t>
  </si>
  <si>
    <t>User interview</t>
  </si>
  <si>
    <t>Deciding *what* to do in an area is the hard part</t>
  </si>
  <si>
    <t>Photo of the area → AI suggests tasks (post-MVP)</t>
  </si>
  <si>
    <t>D7</t>
  </si>
  <si>
    <t>Tasks are often done and logged later</t>
  </si>
  <si>
    <t>Backfill completions ("yesterday")</t>
  </si>
  <si>
    <t>D8</t>
  </si>
  <si>
    <t>Wants weekly insight, not just a to-do list</t>
  </si>
  <si>
    <t>Separate analytics client (Streamlit)</t>
  </si>
  <si>
    <t>D9</t>
  </si>
  <si>
    <t>Roadmap</t>
  </si>
  <si>
    <t>An Android app is planned</t>
  </si>
  <si>
    <t>API-first BFF; mobile-first UI</t>
  </si>
  <si>
    <t>D11</t>
  </si>
  <si>
    <t>PO review of the requirements workbook (2026-09-29)</t>
  </si>
  <si>
    <t>Preset tiles don't fit everyone's life; the user wants to create, rename, reorder and delete tiles themselves</t>
  </si>
  <si>
    <t>Tiles become fully user-managed (CRUD); nothing seeded, with an optional one-click starter set (HLR-1)</t>
  </si>
  <si>
    <t>D12</t>
  </si>
  <si>
    <t>PO review (2026-09-29)</t>
  </si>
  <si>
    <t>When an appliance breaks, the useful information is scattered: customer-care numbers, the last executive who visited, bills, notes (e.g. Bosch dishwasher, Kent water purifier, IFB washing machine, LG fridge, pigeon net, pest control)</t>
  </si>
  <si>
    <t>Tiles and areas hold notes, contacts and files, grouped by topic (HLR-10)</t>
  </si>
  <si>
    <t>D13</t>
  </si>
  <si>
    <t>Some tasks are big checkpoints (milestones), some have a deadline or a planned length in days, and some are private: they shouldn't be shown or celebrated publicly</t>
  </si>
  <si>
    <t>Tasks gain milestone, announce/silent, due date/time and days-to-complete; milestones can unlock rewards (HLR-11)</t>
  </si>
  <si>
    <t>D14</t>
  </si>
  <si>
    <t>Reward ideas come up at random moments (e.g. spotting "101 Hilarious Jokes" for Shiragi while browsing the library), before any rule or task exists; some rewards are for someone else (Shiragi), not for the user</t>
  </si>
  <si>
    <t>Rewards get an Idea stage (capture now, add a rule later, or mark bought/dropped) and a For whom label (HLR-12)</t>
  </si>
  <si>
    <t>D10</t>
  </si>
  <si>
    <t>PO review of MVP (2026-09-28)</t>
  </si>
  <si>
    <t>Rewards float free of the tile/area structure: a reward can be tagged to any task anywhere, so it isn't clear which part of life a reward belongs to</t>
  </si>
  <si>
    <t>Rewards use the same tiles and areas as tasks, and are matched to tasks inside that scope (HLR-9)</t>
  </si>
  <si>
    <t>2.4 Assumptions</t>
  </si>
  <si>
    <t>• A1. Single user for the MVP; data is personal and low volume (&lt; 1k tasks, &lt; 50k completions).</t>
  </si>
  <si>
    <t>• A2. The user's calendar is one timezone (Asia/Kolkata by default).</t>
  </si>
  <si>
    <t>• A3. Rewards are self-fulfilled. There's no purchasing or payment integration.</t>
  </si>
  <si>
    <t>• A4. The host site remains Vite + React 19 with hash routing.</t>
  </si>
  <si>
    <t>2.5 Constraints</t>
  </si>
  <si>
    <t>• C1. Existing Vercel deployment of the host must keep building (npm run build → dist).</t>
  </si>
  <si>
    <t>• C2. Solo developer, capstone timeline; prefer managed or zero-ops components.</t>
  </si>
  <si>
    <t>• C3. AI API keys must never reach the browser.</t>
  </si>
  <si>
    <t>• C4. Out of scope: Android build, real auth, multi-user, other microfrontends, WhatsApp/Apify/Snowflake integrations.</t>
  </si>
  <si>
    <t>3. As-Is</t>
  </si>
  <si>
    <t>3.1 As-Is process</t>
  </si>
  <si>
    <t>Diagram: see the markdown document or the Miro board.</t>
  </si>
  <si>
    <t>3.2 As-Is system</t>
  </si>
  <si>
    <t>3.3 As-Is capabilities and pain points</t>
  </si>
  <si>
    <t>Area</t>
  </si>
  <si>
    <t>As-Is</t>
  </si>
  <si>
    <t>Pain point</t>
  </si>
  <si>
    <t>Structure</t>
  </si>
  <si>
    <t>Goals in 6 fixed categories (Food &amp; Kitchen, Health, House, Learning, Creative, Finance)</t>
  </si>
  <si>
    <t>No notion of physical areas; can't reflect "Kitchen Utility Area" vs "Kitchen"</t>
  </si>
  <si>
    <t>Frequency</t>
  </si>
  <si>
    <t>Daily log per goal; target days</t>
  </si>
  <si>
    <t>Weekly and one-off upkeep doesn't fit</t>
  </si>
  <si>
    <t>Logging</t>
  </si>
  <si>
    <t>"Did it today" + duration + note</t>
  </si>
  <si>
    <t>No backfill; missed logs break streaks unfairly</t>
  </si>
  <si>
    <t>Rewards</t>
  </si>
  <si>
    <t>Linked to a goal or milestone day; ₹ value</t>
  </si>
  <si>
    <t>Can't share one reward across several tasks; no completion-count rule</t>
  </si>
  <si>
    <t>Insight</t>
  </si>
  <si>
    <t>Summary cards (active goals, to log today, earned)</t>
  </si>
  <si>
    <t>No per-area or time-series view</t>
  </si>
  <si>
    <t>Architecture</t>
  </si>
  <si>
    <t>Bundled into the host; Neo4j via shared Express API</t>
  </si>
  <si>
    <t>No independent deploy/failure; not reusable by Android; heavy DB for simple data</t>
  </si>
  <si>
    <t>Resilience</t>
  </si>
  <si>
    <t>Single request path; errors surface raw</t>
  </si>
  <si>
    <t>Rewards failure affects the page</t>
  </si>
  <si>
    <t>AI</t>
  </si>
  <si>
    <t>None</t>
  </si>
  <si>
    <t>Deciding what to do is manual</t>
  </si>
  <si>
    <t>Service information</t>
  </si>
  <si>
    <t>Customer-care numbers in phone contacts, executives' numbers in old WhatsApp chats, paper bills in a drawer</t>
  </si>
  <si>
    <t>When an appliance breaks, finding the last executive or the bill takes longer than the fix</t>
  </si>
  <si>
    <t>4. To-Be</t>
  </si>
  <si>
    <t>4.1 To-Be process</t>
  </si>
  <si>
    <t>4.2 To-Be system</t>
  </si>
  <si>
    <t>4.3 Gap analysis (As-Is → To-Be)</t>
  </si>
  <si>
    <t>Capability</t>
  </si>
  <si>
    <t>To-Be</t>
  </si>
  <si>
    <t>Change type</t>
  </si>
  <si>
    <t>G1</t>
  </si>
  <si>
    <t>Organising model</t>
  </si>
  <si>
    <t>Goals × 6 categories</t>
  </si>
  <si>
    <t>3 tiles × editable areas × tasks</t>
  </si>
  <si>
    <t>Replace</t>
  </si>
  <si>
    <t>G2</t>
  </si>
  <si>
    <t>Daily only</t>
  </si>
  <si>
    <t>Daily, weekly, one-off</t>
  </si>
  <si>
    <t>Extend</t>
  </si>
  <si>
    <t>G3</t>
  </si>
  <si>
    <t>Streaks</t>
  </si>
  <si>
    <t>Daily streak per goal</t>
  </si>
  <si>
    <t>Per-task streak in days or weeks; current + best; backfill-safe</t>
  </si>
  <si>
    <t>G4</t>
  </si>
  <si>
    <t>Reward rules</t>
  </si>
  <si>
    <t>Goal/milestone-bound</t>
  </si>
  <si>
    <t>Tag to many tasks; *N completions* or *streak of N*; auto-unlock; claim</t>
  </si>
  <si>
    <t>G4b</t>
  </si>
  <si>
    <t>Reward taxonomy</t>
  </si>
  <si>
    <t>6 goal categories, separate from anything else</t>
  </si>
  <si>
    <t>Rewards share the task taxonomy: a tile (required) and optionally one area; tasks and rewards are matched within that scope</t>
  </si>
  <si>
    <t>New</t>
  </si>
  <si>
    <t>G5</t>
  </si>
  <si>
    <t>Prioritisation</t>
  </si>
  <si>
    <t>High/Med/Low; filter by priority, status, relevance</t>
  </si>
  <si>
    <t>G6</t>
  </si>
  <si>
    <t>AI assistance</t>
  </si>
  <si>
    <t>Photo → suggested tasks with human approval</t>
  </si>
  <si>
    <t>New (post-MVP)</t>
  </si>
  <si>
    <t>G7</t>
  </si>
  <si>
    <t>Insights</t>
  </si>
  <si>
    <t>3 summary cards</t>
  </si>
  <si>
    <t>Dashboard: by tile/area/day, streaks, reward progress, AI acceptance</t>
  </si>
  <si>
    <t>G8</t>
  </si>
  <si>
    <t>Delivery</t>
  </si>
  <si>
    <t>Bundled into host</t>
  </si>
  <si>
    <t>Independently built and deployed MFE; host fallback</t>
  </si>
  <si>
    <t>Re-architect</t>
  </si>
  <si>
    <t>G9</t>
  </si>
  <si>
    <t>Backend</t>
  </si>
  <si>
    <t>Express + Neo4j shared with other features</t>
  </si>
  <si>
    <t>Dedicated BFF, typed contracts, OpenAPI, relational store</t>
  </si>
  <si>
    <t>G10</t>
  </si>
  <si>
    <t>Clients</t>
  </si>
  <si>
    <t>Web only</t>
  </si>
  <si>
    <t>Web, analytics, Android-ready API</t>
  </si>
  <si>
    <t>G11</t>
  </si>
  <si>
    <t>Tile management</t>
  </si>
  <si>
    <t>6 fixed goal categories (plus custom ones)</t>
  </si>
  <si>
    <t>Tiles fully user-managed (create, edit, reorder, delete); empty start with an optional starter set</t>
  </si>
  <si>
    <t>G13</t>
  </si>
  <si>
    <t>Task planning and privacy</t>
  </si>
  <si>
    <t>Goals had target days and day-numbered milestones; everything visible</t>
  </si>
  <si>
    <t>Tasks: milestone flag (badge, filter, reward rule, bigger celebration), due date and time, days to complete, announce or silent (visibility and celebration)</t>
  </si>
  <si>
    <t>G14</t>
  </si>
  <si>
    <t>Reward ideas</t>
  </si>
  <si>
    <t>Reward had to be defined with its goal; no wishlist</t>
  </si>
  <si>
    <t>Capture reward ideas in seconds (title, photo, link, where seen, for whom); convert to a reward with a rule later, or close as bought/dropped</t>
  </si>
  <si>
    <t>G12</t>
  </si>
  <si>
    <t>Service records</t>
  </si>
  <si>
    <t>Scattered across phone contacts, chats and paper</t>
  </si>
  <si>
    <t>Notes, contacts and files on every tile and area, grouped by topic, with tap-to-call</t>
  </si>
  <si>
    <t>4.4 Transition plan</t>
  </si>
  <si>
    <t>Step</t>
  </si>
  <si>
    <t>Description</t>
  </si>
  <si>
    <t>T1</t>
  </si>
  <si>
    <t>Build the BFF and seed tiles/areas</t>
  </si>
  <si>
    <t>✅</t>
  </si>
  <si>
    <t>T2</t>
  </si>
  <si>
    <t>Build the MFE; mount it on #/rewards; remove the old in-site rewards + /rewards Express routes</t>
  </si>
  <si>
    <t>✅ (branch)</t>
  </si>
  <si>
    <t>T3</t>
  </si>
  <si>
    <t>Build the Streamlit insights client</t>
  </si>
  <si>
    <t>T3a</t>
  </si>
  <si>
    <t>Schema migrations (Alembic) + export/import, so schema changes never cost existing data</t>
  </si>
  <si>
    <t>T3b</t>
  </si>
  <si>
    <t>Reward scope and matching (HLR-9), shipped as the first data-preserving migration</t>
  </si>
  <si>
    <t>⏳ next, after T3a</t>
  </si>
  <si>
    <t>T3c</t>
  </si>
  <si>
    <t>User-managed tiles (CRUD), no seeding, optional starter set (HLR-1 update)</t>
  </si>
  <si>
    <t>⏳ next</t>
  </si>
  <si>
    <t>T3d</t>
  </si>
  <si>
    <t>Notes, contacts and files on tiles and areas (HLR-10)</t>
  </si>
  <si>
    <t>T3e</t>
  </si>
  <si>
    <t>Task planning and visibility: milestones, due date/time, days to complete, announce/silent (HLR-11)</t>
  </si>
  <si>
    <t>T3f</t>
  </si>
  <si>
    <t>Reward ideas and wishlist, "For whom" on rewards (HLR-12)</t>
  </si>
  <si>
    <t>T4</t>
  </si>
  <si>
    <t>Deploy the MFE + BFF; set the host's remote URL; merge to main</t>
  </si>
  <si>
    <t>⏳</t>
  </si>
  <si>
    <t>T5</t>
  </si>
  <si>
    <t>Integration services: vision → events/outbox → reminders</t>
  </si>
  <si>
    <t>T6</t>
  </si>
  <si>
    <t>Mobile BFF surface; Android client</t>
  </si>
  <si>
    <t>⏳ future</t>
  </si>
  <si>
    <t>No data migration from Neo4j is planned. The old feature held no production data worth carrying over (its auth gate was disabled and the new model differs). Confirm before T4.</t>
  </si>
  <si>
    <t>5. Scope</t>
  </si>
  <si>
    <t>In scope (MVP)</t>
  </si>
  <si>
    <t>Post-MVP (capstone extensions)</t>
  </si>
  <si>
    <t>Tile and area CRUD (no seeding, optional starter set), tasks, completions, streaks, rewards, claim; rewards scoped to the same tiles/areas and matched to tasks; notes, contacts and files on tiles and areas</t>
  </si>
  <si>
    <t>Photo → AI suggestions (vision adapter)</t>
  </si>
  <si>
    <t>Android app build</t>
  </si>
  <si>
    <t>React MFE + host integration</t>
  </si>
  <si>
    <t>Domain events + outbox; reminders (push/email)</t>
  </si>
  <si>
    <t>Real auth / multi-user</t>
  </si>
  <si>
    <t>FastAPI BFF with per-client shapes</t>
  </si>
  <si>
    <t>Calendar ICS feed; object storage; AI weekly coach</t>
  </si>
  <si>
    <t>Other microfrontends</t>
  </si>
  <si>
    <t>Streamlit insights</t>
  </si>
  <si>
    <t>Mobile BFF surface; OIDC</t>
  </si>
  <si>
    <t>WhatsApp, Apify, Snowflake</t>
  </si>
  <si>
    <t>6. High-level requirements</t>
  </si>
  <si>
    <t>6.1 Business requirements</t>
  </si>
  <si>
    <t>Success measure</t>
  </si>
  <si>
    <t>6.2 High-level functional requirements (epics)</t>
  </si>
  <si>
    <t>Summary</t>
  </si>
  <si>
    <t>Traces to (LLRD)</t>
  </si>
  <si>
    <t>MVP</t>
  </si>
  <si>
    <t>Tiles &amp; areas</t>
  </si>
  <si>
    <t>User-managed tiles and areas (create, edit, reorder, delete); empty start with an optional starter set</t>
  </si>
  <si>
    <t>LLR-1.x</t>
  </si>
  <si>
    <t>🟡 areas ✅, tiles CRUD ⏳ next</t>
  </si>
  <si>
    <t>Task management</t>
  </si>
  <si>
    <t>Create, prioritise, filter, change status/frequency/relevance</t>
  </si>
  <si>
    <t>LLR-2.x</t>
  </si>
  <si>
    <t>Completion &amp; streaks</t>
  </si>
  <si>
    <t>Log completions with note/backfill; activity log; current/best streak</t>
  </si>
  <si>
    <t>LLR-3.x</t>
  </si>
  <si>
    <t>Create, tag, progress, auto-unlock, claim</t>
  </si>
  <si>
    <t>LLR-4.1–4.8</t>
  </si>
  <si>
    <t>Reward scope and matching</t>
  </si>
  <si>
    <t>Rewards live in the same tiles and areas as tasks; tasks are matched to rewards inside that scope (selected tasks, or all tasks in scope); existing rewards migrated without data loss</t>
  </si>
  <si>
    <t>LLR-4.9–4.18</t>
  </si>
  <si>
    <t>Notes, contacts and files</t>
  </si>
  <si>
    <t>Every tile and area holds notes, contacts (customer care, service executives, vendors) and files (bills, warranty cards), grouped by topic such as "Bosch Dishwasher", with tap-to-call and search</t>
  </si>
  <si>
    <t>LLR-10.x</t>
  </si>
  <si>
    <t>Task planning and visibility</t>
  </si>
  <si>
    <t>Tasks can be milestones (badge, filter, "milestone completed" reward rule, bigger celebration), have a due date and time and a days-to-complete target, and be announced or silent (silent = hidden from the public view and completed without celebration)</t>
  </si>
  <si>
    <t>LLR-11.x</t>
  </si>
  <si>
    <t>Reward ideas and wishlist</t>
  </si>
  <si>
    <t>Capture a reward idea in seconds (e.g. a book for Shiragi spotted at the library) without a rule; turn it into a real reward later, or mark it bought or dropped; every reward says who it's for</t>
  </si>
  <si>
    <t>LLR-12.x</t>
  </si>
  <si>
    <t>Insights dashboard</t>
  </si>
  <si>
    <t>Aggregates, filters, cached reads, claim from dashboard</t>
  </si>
  <si>
    <t>LLR-5.x</t>
  </si>
  <si>
    <t>AI task suggestions</t>
  </si>
  <si>
    <t>Photos → suggestions → decisions → tasks; non-blocking</t>
  </si>
  <si>
    <t>LLR-6.x</t>
  </si>
  <si>
    <t>Module composition</t>
  </si>
  <si>
    <t>Independently delivered MFE with host fallback</t>
  </si>
  <si>
    <t>LLR-7.x</t>
  </si>
  <si>
    <t>API (BFF)</t>
  </si>
  <si>
    <t>Versionable, documented, client-shaped API with demo auth</t>
  </si>
  <si>
    <t>LLR-8.x</t>
  </si>
  <si>
    <t>6.3 High-level non-functional requirements</t>
  </si>
  <si>
    <t>Category</t>
  </si>
  <si>
    <t>Usability</t>
  </si>
  <si>
    <t>Mobile-first; every primary action reachable in ≤ 3 taps from the area screen</t>
  </si>
  <si>
    <t>No single dependency failure (remote, BFF, AI) blanks the host page</t>
  </si>
  <si>
    <t>Performance</t>
  </si>
  <si>
    <t>Rewards screen interactive ≤ 2 s on local/broadband; dashboard cached reads</t>
  </si>
  <si>
    <t>Security</t>
  </si>
  <si>
    <t>Secrets server-side only; CORS allow-list; private photo storage</t>
  </si>
  <si>
    <t>Accessibility</t>
  </si>
  <si>
    <t>WCAG 2.2 AA intent: labels, focus, live regions, contrast, reduced motion</t>
  </si>
  <si>
    <t>Maintainability</t>
  </si>
  <si>
    <t>Typed contracts; pure, unit-tested business rules; ≥ 1 test per business rule</t>
  </si>
  <si>
    <t>Portability</t>
  </si>
  <si>
    <t>HTTP/JSON only between tiers; storage swappable (SQLite → Postgres)</t>
  </si>
  <si>
    <t>7. Stakeholders and RACI</t>
  </si>
  <si>
    <t>Activity</t>
  </si>
  <si>
    <t>Mansi (PO/dev)</t>
  </si>
  <si>
    <t>Future Android dev</t>
  </si>
  <si>
    <t>Requirements &amp; priorities</t>
  </si>
  <si>
    <t>A/R</t>
  </si>
  <si>
    <t>C</t>
  </si>
  <si>
    <t>I</t>
  </si>
  <si>
    <t>Architecture &amp; build</t>
  </si>
  <si>
    <t>C (API)</t>
  </si>
  <si>
    <t>Demo &amp; evaluation</t>
  </si>
  <si>
    <t>R</t>
  </si>
  <si>
    <t>A</t>
  </si>
  <si>
    <t>8. Dependencies</t>
  </si>
  <si>
    <t>Vercel (host + MFE hosting); a Python host for the BFF (post-MVP deploy); the Anthropic API (post-MVP vision); @originjs/vite-plugin-federation; Streamlit.</t>
  </si>
  <si>
    <t>9. Risks</t>
  </si>
  <si>
    <t>Risk</t>
  </si>
  <si>
    <t>Likelihood</t>
  </si>
  <si>
    <t>Impact</t>
  </si>
  <si>
    <t>Mitigation</t>
  </si>
  <si>
    <t>Remote not deployed when merged → #/rewards shows fallback</t>
  </si>
  <si>
    <t>M</t>
  </si>
  <si>
    <t>Deploy the MFE + BFF before merging to main (T4)</t>
  </si>
  <si>
    <t>AI suggestions low quality</t>
  </si>
  <si>
    <t>L</t>
  </si>
  <si>
    <t>Human approval per suggestion; acceptance-rate metric in the dashboard</t>
  </si>
  <si>
    <t>Scope creep into other modules</t>
  </si>
  <si>
    <t>Capstone limited to Rewards; roadmap items gated by priority</t>
  </si>
  <si>
    <t>Contacts and bills visible in the public read-only view (PO decision Q17): executives' personal numbers and your bills exposed once hosted</t>
  </si>
  <si>
    <t>H</t>
  </si>
  <si>
    <t>Acceptable locally; revisit before going public (option: hide details from visitors while keeping rewards public)</t>
  </si>
  <si>
    <t>Silent tasks leaking through counts or reward lists in the public view</t>
  </si>
  <si>
    <t>Silent tasks and their completions are removed from every response served without the passcode, including counts, dashboard aggregates and reward task lists (BR-R23); tested explicitly</t>
  </si>
  <si>
    <t>Deleting a tile removes everything under it</t>
  </si>
  <si>
    <t>Typed-name confirmation listing what will go, plus an automatic database snapshot first (BR-R18)</t>
  </si>
  <si>
    <t>React version drift host ↔ remote</t>
  </si>
  <si>
    <t>Shared singleton; pinned versions; smoke check</t>
  </si>
  <si>
    <t>10. Acceptance (MVP)</t>
  </si>
  <si>
    <t>The MVP is accepted when the demo runs without manual workarounds:</t>
  </si>
  <si>
    <t>• Open #/rewards → Household → Kitchen.</t>
  </si>
  <si>
    <t>• Add a task.</t>
  </si>
  <si>
    <t>• Complete it (yesterday + today) → streak 2.</t>
  </si>
  <si>
    <t>• Tag a *3 completions* reward → complete again → unlock toast → claim.</t>
  </si>
  <si>
    <t>• The Streamlit dashboard reflects completions, streaks and the claim.</t>
  </si>
  <si>
    <t>• With the remote or BFF stopped, the site shows the documented fallbacks.</t>
  </si>
  <si>
    <t>• (HLR-9) Kitchen shows "Rewards you can earn here" for rewards scoped to Household or Household › Kitchen, and the Kitchen task can only be tagged to those.</t>
  </si>
  <si>
    <t>• (HLR-1) On a fresh database, create a tile "Home", rename it, add areas; "Add suggested tiles" adds the starter set without duplicating "Home".</t>
  </si>
  <si>
    <t>• (HLR-10) Kitchen › Notes &amp; contacts shows a "Bosch Dishwasher" topic with its customer-care number, past executives with visit dates, bills and notes; tapping a number starts a call on the phone. Household (tile level) holds "Pest Control" with its last executive.</t>
  </si>
  <si>
    <t>• (HLR-11) A milestone task "Finish React course" (due 31 Oct 2026, 18:00; 30 days to complete) shows its 🏁 badge and due chip; a reward with the rule "milestone completed" unlocks when it's done, with the milestone celebration. A silent task doesn't appear in the read-only view and completes without a toast.</t>
  </si>
  <si>
    <t>• (HLR-12) At the library, capture the idea "101 Hilarious Jokes" for Shiragi with a cover photo in two taps; later turn it into a reward that unlocks when Shiragi's "Read 20 minutes" task reaches a 7-day streak. The idea stays hidden from the read-only view until then.</t>
  </si>
  <si>
    <t>1. Detailed discovery</t>
  </si>
  <si>
    <t>1.1 Discovery questions and answers</t>
  </si>
  <si>
    <t>Question</t>
  </si>
  <si>
    <t>Answer / decision</t>
  </si>
  <si>
    <t>Q1</t>
  </si>
  <si>
    <t>Which tiles exist and are they editable?</t>
  </si>
  <si>
    <t>3 fixed tiles; only areas editable (closed) Superseded by Q15: tiles are fully user-managed</t>
  </si>
  <si>
    <t>Brief, revised 2026-09-29</t>
  </si>
  <si>
    <t>Q2</t>
  </si>
  <si>
    <t>Household starter list (originally the seed list; now the optional starter set, LLR-1.8)?</t>
  </si>
  <si>
    <t>Kitchen, Kitchen Utility Area, Laundry, Master Bathroom, Guest Bathroom, Master Bedroom, Guest Room, Hall, Balcony, Books, Makeup, Wardrobe, Shiragi Toys (13). "Kitchen Utility" dropped as a duplicate</t>
  </si>
  <si>
    <t>PO decision, 2026-09-28</t>
  </si>
  <si>
    <t>Q3</t>
  </si>
  <si>
    <t>What counts as a streak for weekly tasks?</t>
  </si>
  <si>
    <t>Consecutive Monday–Sunday weeks with ≥ 1 completion</t>
  </si>
  <si>
    <t>Design decision</t>
  </si>
  <si>
    <t>Q4</t>
  </si>
  <si>
    <t>When does a streak break?</t>
  </si>
  <si>
    <t>Only after a whole period is missed (done yesterday but not yet today = still alive)</t>
  </si>
  <si>
    <t>Q5</t>
  </si>
  <si>
    <t>How can the demo show a streak going up in minutes?</t>
  </si>
  <si>
    <t>Backfill: log a completion for yesterday or the day before</t>
  </si>
  <si>
    <t>PO accepted</t>
  </si>
  <si>
    <t>Q6</t>
  </si>
  <si>
    <t>Do completions before a reward existed count?</t>
  </si>
  <si>
    <t>Yes, all completions of tagged tasks count</t>
  </si>
  <si>
    <t>Design decision (demo flow)</t>
  </si>
  <si>
    <t>Q7</t>
  </si>
  <si>
    <t>Can an unlocked reward re-lock if a streak breaks?</t>
  </si>
  <si>
    <t>No, unlock is permanent</t>
  </si>
  <si>
    <t>Q8</t>
  </si>
  <si>
    <t>What happens to the old in-site rewards?</t>
  </si>
  <si>
    <t>Replaced on #/rewards; old UI and Express/Neo4j routes removed</t>
  </si>
  <si>
    <t>PO decision</t>
  </si>
  <si>
    <t>Q9</t>
  </si>
  <si>
    <t>Timezone?</t>
  </si>
  <si>
    <t>User-local calendar, default Asia/Kolkata (configurable)</t>
  </si>
  <si>
    <t>Q10</t>
  </si>
  <si>
    <t>AI in MVP?</t>
  </si>
  <si>
    <t>No, post-MVP; the dashboard shows an empty state until then</t>
  </si>
  <si>
    <t>Q11</t>
  </si>
  <si>
    <t>Should rewards use the same categories as tasks?</t>
  </si>
  <si>
    <t>Yes. A reward belongs to a tile (required) and optionally one area of that tile, the same taxonomy as tasks. This is the reward's *scope*, and tasks are matched to rewards within it</t>
  </si>
  <si>
    <t>Q12</t>
  </si>
  <si>
    <t>How are tasks matched to a reward?</t>
  </si>
  <si>
    <t>Two modes. Selected tasks (default): tag specific tasks, all inside the scope. All tasks in scope: every non-archived task in the area (or tile) counts automatically, including tasks added later</t>
  </si>
  <si>
    <t>Design decision, 2026-09-28</t>
  </si>
  <si>
    <t>Q13</t>
  </si>
  <si>
    <t>Where is data hosted?</t>
  </si>
  <si>
    <t>SQLite on the DigitalOcean droplet (1 GB RAM, 25 GB disk), backed up continuously by Litestream; MFE on Vercel; photos in object storage later</t>
  </si>
  <si>
    <t>Q14</t>
  </si>
  <si>
    <t>Can schema changes lose existing (test) data?</t>
  </si>
  <si>
    <t>No. Every schema change ships as an Alembic migration that upgrades the file in place, with an automatic backup first; export/import to JSON is available for moves</t>
  </si>
  <si>
    <t>PO requirement, 2026-09-28</t>
  </si>
  <si>
    <t>Q15</t>
  </si>
  <si>
    <t>Should tiles be seeded?</t>
  </si>
  <si>
    <t>No. Tiles are user-managed (create, edit, reorder, delete). A fresh install starts empty, with an optional one-click starter set</t>
  </si>
  <si>
    <t>PO decision, 2026-09-29</t>
  </si>
  <si>
    <t>Q16</t>
  </si>
  <si>
    <t>How structured are the notes and contacts?</t>
  </si>
  <si>
    <t>Simple: notes, contacts and files, each with an optional topic (e.g. "Bosch Dishwasher") that groups them. "Past executives" are contacts with the role *Service executive* and a last-visit date</t>
  </si>
  <si>
    <t>Q17</t>
  </si>
  <si>
    <t>Who can see notes, contacts and files?</t>
  </si>
  <si>
    <t>The same as rewards: visible in the read-only view when public reads are on; editing needs the owner passcode. Risk logged in HLRD §9</t>
  </si>
  <si>
    <t>Q18</t>
  </si>
  <si>
    <t>Can tiles hold notes and contacts, or only areas?</t>
  </si>
  <si>
    <t>Both. Home-wide services (e.g. Pest Control) live on the tile; appliance-specific ones on the area (e.g. Kitchen › Bosch Dishwasher)</t>
  </si>
  <si>
    <t>Q19</t>
  </si>
  <si>
    <t>What does marking a task as a milestone do?</t>
  </si>
  <si>
    <t>Three things: a 🏁 badge and a *Milestones* filter (and a dashboard list); a new reward rule *milestone completed*; and a bigger celebration when it's completed</t>
  </si>
  <si>
    <t>Q20</t>
  </si>
  <si>
    <t>What do "announce" and "keep silent" mean?</t>
  </si>
  <si>
    <t>Visibility and celebration. Announced: visible in the read-only view, celebrated on completion with a share prompt. Silent: visible only with the owner passcode, and completed quietly (no toast, no share prompt)</t>
  </si>
  <si>
    <t>Q21</t>
  </si>
  <si>
    <t>How do "days to complete" and the due date relate?</t>
  </si>
  <si>
    <t>They're independent fields, both optional; neither is calculated from the other</t>
  </si>
  <si>
    <t>Q22</t>
  </si>
  <si>
    <t>What visibility do existing and new tasks get?</t>
  </si>
  <si>
    <t>Existing tasks become *Announced* (unchanged behaviour). New tasks default to *Announced*; the add form lets you switch to *Silent*</t>
  </si>
  <si>
    <t>Design decision, 2026-09-29 (see O8)</t>
  </si>
  <si>
    <t>Q23</t>
  </si>
  <si>
    <t>Where do "things I might get for Shiragi later" go: notes or rewards?</t>
  </si>
  <si>
    <t>Rewards, as ideas: a reward in an *Idea* stage with no rule yet. Notes (HLR-10) stay for reference information about a place (contacts, bills)</t>
  </si>
  <si>
    <t>Q24</t>
  </si>
  <si>
    <t>Should reward ideas be visible in the read-only view?</t>
  </si>
  <si>
    <t>No by default: ideas are Silent (hidden without the passcode), so a gift for Shiragi stays a surprise. Each idea or reward can be switched to *Announced*</t>
  </si>
  <si>
    <t>Design decision, 2026-09-29</t>
  </si>
  <si>
    <t>Q25</t>
  </si>
  <si>
    <t>Who can a reward be for?</t>
  </si>
  <si>
    <t>Any person, as a free-text For whom label with suggestions from earlier entries (default "Me"). It's a label only; all editing stays with the owner</t>
  </si>
  <si>
    <t>1.2 Open items</t>
  </si>
  <si>
    <t>Item</t>
  </si>
  <si>
    <t>Needed by</t>
  </si>
  <si>
    <t>O1</t>
  </si>
  <si>
    <t>Hosting choice (closed) Closed by Q13</t>
  </si>
  <si>
    <t>PO</t>
  </si>
  <si>
    <t>O5</t>
  </si>
  <si>
    <t>Can one reward ever span two tiles (e.g. a treat for Career + Fun)? Current rule: no; create one reward per tile. Revisit if it comes up in real use</t>
  </si>
  <si>
    <t>Before HLR-9 build</t>
  </si>
  <si>
    <t>O7</t>
  </si>
  <si>
    <t>A *milestone completed* reward with several milestone tasks: unlock when all are done (current rule, BR-R25) or when any is done?</t>
  </si>
  <si>
    <t>Before HLR-11 build</t>
  </si>
  <si>
    <t>O8</t>
  </si>
  <si>
    <t>Should new tasks default to *Silent* instead of *Announced* once the site is public?</t>
  </si>
  <si>
    <t>Before going live</t>
  </si>
  <si>
    <t>O2</t>
  </si>
  <si>
    <t>Confirm no data needs migrating from the old Neo4j rewards</t>
  </si>
  <si>
    <t>Before merging to main</t>
  </si>
  <si>
    <t>O3</t>
  </si>
  <si>
    <t>Reminder channel for the web (push vs email)</t>
  </si>
  <si>
    <t>Integration phase</t>
  </si>
  <si>
    <t>O4</t>
  </si>
  <si>
    <t>Claude model and per-request cost budget for vision</t>
  </si>
  <si>
    <t>Phase 4</t>
  </si>
  <si>
    <t>2. Feature-level As-Is → To-Be</t>
  </si>
  <si>
    <t>Feature</t>
  </si>
  <si>
    <t>As-Is (old in-site rewards)</t>
  </si>
  <si>
    <t>To-Be (Rewards MFE)</t>
  </si>
  <si>
    <t>LLR</t>
  </si>
  <si>
    <t>Navigation</t>
  </si>
  <si>
    <t>Goals / Rewards tabs, modal-heavy</t>
  </si>
  <si>
    <t>Tiles → Areas → Area → Task; Rewards tab; deep links #/rewards/...</t>
  </si>
  <si>
    <t>LLR-1, LLR-7</t>
  </si>
  <si>
    <t>Categories</t>
  </si>
  <si>
    <t>6 fixed + custom categories for goals</t>
  </si>
  <si>
    <t>None (phone contacts, chats, paper bills)</t>
  </si>
  <si>
    <t>Notes, contacts and files on every tile and area, grouped by topic, tap-to-call, search</t>
  </si>
  <si>
    <t>Unit of work</t>
  </si>
  <si>
    <t>Goal (title, description, type, target days)</t>
  </si>
  <si>
    <t>Task (title, notes, priority, frequency, status, relevance, source)</t>
  </si>
  <si>
    <t>"Log today": did it?, duration, note</t>
  </si>
  <si>
    <t>Complete now or backfill 1–2 days; note</t>
  </si>
  <si>
    <t>Streak</t>
  </si>
  <si>
    <t>Per task, daily or weekly periods; current + best</t>
  </si>
  <si>
    <t>Milestones</t>
  </si>
  <si>
    <t>Day-number milestones per goal</t>
  </si>
  <si>
    <t>Any task can be a milestone: 🏁 badge and filter, a *milestone completed* reward rule, a bigger celebration (plus *streak of N* for day counts)</t>
  </si>
  <si>
    <t>LLR-11.1–11.4</t>
  </si>
  <si>
    <t>Deadlines and privacy</t>
  </si>
  <si>
    <t>Target days per goal; everything visible</t>
  </si>
  <si>
    <t>Optional due date and time, days to complete (independent); announce or silent per task</t>
  </si>
  <si>
    <t>LLR-11.5–11.12</t>
  </si>
  <si>
    <t>Per goal/milestone, ₹ value, claim → receive</t>
  </si>
  <si>
    <t>Many-to-many with tasks; completions or streak rule; auto-unlock; claim</t>
  </si>
  <si>
    <t>Rewards defined only together with a goal</t>
  </si>
  <si>
    <t>Capture an idea first (title, photo, link, where seen, for whom), turn it into a reward later or close it as bought/dropped</t>
  </si>
  <si>
    <t>Reward scope</t>
  </si>
  <si>
    <t>Reward inherits its goal's category (6 goal categories)</t>
  </si>
  <si>
    <t>Reward has its own tile + optional area from the same taxonomy as tasks; tasks matched by scope (selected, or all in scope)</t>
  </si>
  <si>
    <t>Streamlit dashboard</t>
  </si>
  <si>
    <t>Photo → suggestions (⏳)</t>
  </si>
  <si>
    <t>Auth</t>
  </si>
  <si>
    <t>Passcode gate (disabled)</t>
  </si>
  <si>
    <t>Demo bearer token at the BFF</t>
  </si>
  <si>
    <t>Express + Neo4j (/api/rewards)</t>
  </si>
  <si>
    <t>FastAPI BFF + SQLite</t>
  </si>
  <si>
    <t>3. Detailed functional requirements</t>
  </si>
  <si>
    <t>LLR-1 Tiles and areas (HLR-1)</t>
  </si>
  <si>
    <t>✅ (to be replaced)</t>
  </si>
  <si>
    <t>🟡</t>
  </si>
  <si>
    <t>User-managed tiles (HLR-1 update) ⏳ next</t>
  </si>
  <si>
    <t>AC-1.7 to 1.12</t>
  </si>
  <si>
    <t>• *Given* a fresh database *when* the Rewards screen opens *then* it shows "Create your first tile" and no tiles.</t>
  </si>
  <si>
    <t>• *Given* a tile "Home" exists *when* the user presses "Add suggested tiles" *then* Career/Office/Work, Household and Fun are added, "Home" is untouched, and pressing it again adds nothing.</t>
  </si>
  <si>
    <t>• *Given* a tile "Household" exists *when* the user creates "household" *then* it's rejected: "'household' already exists" (409).</t>
  </si>
  <si>
    <t>• *Given* "Household" is renamed to "Home and family" *then* its areas, tasks and rewards are unchanged and deep links still open it.</t>
  </si>
  <si>
    <t>• *Given* the user deletes "Fun" and types "Fun" to confirm *then* Fun, its areas, tasks, completions, scoped rewards and details are removed, and a snapshot exists in data/backups/.</t>
  </si>
  <si>
    <t>AC-1.3</t>
  </si>
  <si>
    <t>• *Given* Fun contains "Hobbies" *when* the user adds "hobbies" *then* it's rejected with "'hobbies' already exists in this category" (409) and nothing is created.</t>
  </si>
  <si>
    <t>• *Given* an empty name *when* submitted *then* the Add button is disabled and the API rejects it (422).</t>
  </si>
  <si>
    <t>AC-1.5</t>
  </si>
  <si>
    <t>• *Given* an area with 2 tasks *when* it's deleted and confirmed *then* the area and both tasks return 404 afterwards.</t>
  </si>
  <si>
    <t>LLR-2 Task management (HLR-2)</t>
  </si>
  <si>
    <t>AC-2.3</t>
  </si>
  <si>
    <t>• *Given* a low-priority task created before a high-priority one *when* the list loads *then* the high one is first.</t>
  </si>
  <si>
    <t>AC-2.4</t>
  </si>
  <si>
    <t>• *Given* one task is archived *when* filtering status = active *then* only the other task shows.</t>
  </si>
  <si>
    <t>LLR-3 Completion, activity log and streaks (HLR-3)</t>
  </si>
  <si>
    <t>Business rules: streaks</t>
  </si>
  <si>
    <t>Rule</t>
  </si>
  <si>
    <t>AC-3 (streak)</t>
  </si>
  <si>
    <t>• *Given* a daily task *when* completed yesterday and then today *then* current = 2 and best = 2.</t>
  </si>
  <si>
    <t>• *Given* the same task completed again today *then* current stays 2 and completion count becomes 3.</t>
  </si>
  <si>
    <t>• *Given* last completion 2 days ago (none yesterday) *then* current = 0 and best keeps its value.</t>
  </si>
  <si>
    <t>• *Given* a weekly task done this Monday and last Sunday *then* current = 2 (different weeks).</t>
  </si>
  <si>
    <t>LLR-4 Rewards (HLR-4)</t>
  </si>
  <si>
    <t>Reward scope and matching (HLR-9) ⏳ next</t>
  </si>
  <si>
    <t>Business rules: rewards</t>
  </si>
  <si>
    <t>AC-4b (scope and matching)</t>
  </si>
  <si>
    <t>• *Given* a reward scoped to Household › Kitchen *when* the user tries to tag the Laundry task *then* it's rejected: "“Wash whites” isn't in Household › Kitchen" (422).</t>
  </si>
  <si>
    <t>• *Given* a reward "Weekend brunch" scoped to Household with *All tasks in scope*, 3 completions *when* the user completes any Household task (Kitchen or Laundry) *then* progress counts it without tagging. A Career task never counts.</t>
  </si>
  <si>
    <t>• *Given* a new Kitchen task is created after the reward *when* it's completed *then* it counts towards the Household reward immediately.</t>
  </si>
  <si>
    <t>• *Given* the Kitchen area screen *then* "Rewards you can earn here" lists rewards scoped to Household › Kitchen and to Household, not Fun or Household › Laundry.</t>
  </si>
  <si>
    <t>• *Given* an existing reward tagged only to Kitchen tasks *when* the migration runs *then* its scope becomes Household › Kitchen, and its tags, progress and status are unchanged.</t>
  </si>
  <si>
    <t>• *Given* the Kitchen area is deleted *then* a reward scoped to Household › Kitchen becomes scoped to Household and keeps its status.</t>
  </si>
  <si>
    <t>AC-4 (demo flow)</t>
  </si>
  <si>
    <t>• *Given* a task with 2 completions and a locked "3 completions" reward *when* the reward is tagged to the task *then* progress = 2/3 (67 %).</t>
  </si>
  <si>
    <t>• *When* the task is completed once more *then* the response lists the reward as unlocked and the UI shows "🎉 Reward unlocked: &lt;title&gt;".</t>
  </si>
  <si>
    <t>• *When* the user claims it *then* the status is claimed and claimedAt is set.</t>
  </si>
  <si>
    <t>LLR-5 Insights dashboard (HLR-5)</t>
  </si>
  <si>
    <t>⏳ (HLR-9)</t>
  </si>
  <si>
    <t>LLR-6 AI task suggestions (HLR-6) ⏳</t>
  </si>
  <si>
    <t>LLR-7 Module composition (HLR-7)</t>
  </si>
  <si>
    <t>🟡 (verified in browser)</t>
  </si>
  <si>
    <t>LLR-8 BFF API (HLR-8)</t>
  </si>
  <si>
    <t>LLR-10 Notes, contacts and files (HLR-10) ⏳ next</t>
  </si>
  <si>
    <t>Each tile and each area has a *Notes &amp; contacts* section (Q16, Q18). Every note, contact and file can carry an optional topic (e.g. "Bosch Dishwasher", "Pest Control") that groups related items.</t>
  </si>
  <si>
    <t>Business rules: tiles and details</t>
  </si>
  <si>
    <t>AC-10 (your examples)</t>
  </si>
  <si>
    <t>• *Given* Household › Kitchen *when* the user adds contacts "Bosch Customer Care" (Customer care, toll-free number) and "Ramesh" (Service executive, last visit 12 Aug 2026), both with topic "Bosch Dishwasher", uploads the installation bill and adds a note "Filter cleaned; next service due in 6 months" *then* the Bosch Dishwasher topic shows all four, with Ramesh as the last executive.</t>
  </si>
  <si>
    <t>• *Given* a topic "Kent Water Purifier" with executives visiting in March and August *then* the August executive is shown as the last executive, and both appear under past executives.</t>
  </si>
  <si>
    <t>• *Given* "IFB Washing Machine" (Laundry), "LG Fridge" (Kitchen) and "Pigeon Net" (Balcony) contacts *when* the user searches "IFB" *then* the result shows "Household › Laundry › IFB Washing Machine".</t>
  </si>
  <si>
    <t>• *Given* Household (tile level) with topic "Pest Control" *then* its last executive shows on the Household tile's Notes &amp; contacts tab, not under any area.</t>
  </si>
  <si>
    <t>• *Given* a saved number "98450 12345" *when* the user searches "9845012345" *then* the contact is found, and tapping Call on a phone dials it.</t>
  </si>
  <si>
    <t>• *Given* the read-only view (no passcode) *then* notes, contacts and files are visible, but the add, edit, delete and upload controls are hidden (Q17).</t>
  </si>
  <si>
    <t>LLR-11 Task planning and visibility (HLR-11) ⏳ next</t>
  </si>
  <si>
    <t>Four new, optional task attributes (Q19 to Q22). They sit under More options in the add form, so adding a quick task on a phone stays one field and one tap.</t>
  </si>
  <si>
    <t>Business rules: task planning and visibility</t>
  </si>
  <si>
    <t>AC-11 (your examples)</t>
  </si>
  <si>
    <t>• *Given* the add form *when* the user opens More options, ticks Milestone, sets due "31 Oct 2026, 6:00 pm" and days to complete "30" *then* the task shows 🏁, "Due 31 Oct" and "Planned: 30 days", and task detail shows "Day 1 of 30".</t>
  </si>
  <si>
    <t>• *Given* a reward "New laptop bag" with the rule Milestone completed tagged to the milestone "Finish React course" *when* that task is completed *then* the reward unlocks and the milestone celebration plays.</t>
  </si>
  <si>
    <t>• *Given* two milestone tasks tagged to one milestone reward *when* only one is completed *then* progress shows 1 of 2 and it stays locked (BR-R25, O7).</t>
  </si>
  <si>
    <t>• *Given* a silent task "Therapy session" *when* a visitor opens the read-only view *then* it isn't listed, the area's active count doesn't include it, and dashboard totals exclude it; with the passcode it's shown with 🔕.</t>
  </si>
  <si>
    <t>• *Given* the user completes a silent task *then* only "Logged" appears: no toast and no share prompt.</t>
  </si>
  <si>
    <t>• *Given* a task due yesterday that's still active *then* it shows *Overdue*; when it's completed or archived the chip disappears.</t>
  </si>
  <si>
    <t>• *Given* a task with due date 10 Oct and days to complete 30 *when* the due date is moved to 20 Oct *then* days to complete stays 30.</t>
  </si>
  <si>
    <t>LLR-12 Reward ideas and wishlist (HLR-12) ⏳ next</t>
  </si>
  <si>
    <t>A reward can start life as an idea: something you might get later, captured before any rule or task exists (Q23).</t>
  </si>
  <si>
    <t>Business rules: ideas</t>
  </si>
  <si>
    <t>AC-12 (your example)</t>
  </si>
  <si>
    <t>• *Given* the user is at the library *when* they tap "+ Idea", type "101 Hilarious Jokes", choose for whom "Shiragi", take a photo of the cover and save *then* it appears under Rewards › Ideas with the photo, for "Shiragi", saved in under 10 seconds on a phone.</t>
  </si>
  <si>
    <t>• *Given* the idea *when* a visitor opens the read-only view *then* it isn't shown (silent by default); with the passcode it's listed with 🔕.</t>
  </si>
  <si>
    <t>• *Given* the idea *when* the user turns it into a reward for Household › Books with the rule "streak of 7" tagged to Shiragi's task "Read 20 minutes" *then* it's a locked reward at 0 %, still with its photo, link and for whom "Shiragi".</t>
  </si>
  <si>
    <t>• *Given* the user simply buys the book *when* they close the idea as *Bought* *then* it moves to *Closed* with today's date.</t>
  </si>
  <si>
    <t>• *Given* the Rewards tab filtered to "Shiragi" *then* only her ideas and rewards are shown.</t>
  </si>
  <si>
    <t>4. Screen requirements (MFE)</t>
  </si>
  <si>
    <t>Screen</t>
  </si>
  <si>
    <t>Must show</t>
  </si>
  <si>
    <t>States</t>
  </si>
  <si>
    <t>Primary actions</t>
  </si>
  <si>
    <t>Tiles</t>
  </si>
  <si>
    <t>Tiles: icon, name, area count, active task count; ⏳ "+ New tile"; ⏳ search box (LLR-10.9)</t>
  </si>
  <si>
    <t>loading, error+retry; ⏳ empty: "Create your first tile" + "Add suggested tiles"</t>
  </si>
  <si>
    <t>open tile; ⏳ create, edit, reorder, delete tile</t>
  </si>
  <si>
    <t>Tile (category)</t>
  </si>
  <si>
    <t>Breadcrumb; areas with active count; ⏳ tabs *Areas* / *Notes &amp; contacts*</t>
  </si>
  <si>
    <t>loading, error, empty ("No areas yet"), not found</t>
  </si>
  <si>
    <t>add, rename (inline), delete (confirm) area; ⏳ edit or delete this tile; ⏳ tile-level notes, contacts, files</t>
  </si>
  <si>
    <t>⏳ Notes &amp; contacts (tab on tile and area)</t>
  </si>
  <si>
    <t>Topic groups ("General" last); per topic: last executive, contacts (role, organisation, phones with Call / WhatsApp / Copy), files (thumbnail or PDF icon, date, amount), notes</t>
  </si>
  <si>
    <t>loading, error, empty ("No notes or contacts yet"), read-only (no edit controls)</t>
  </si>
  <si>
    <t>add note, contact, file; edit, delete, change topic</t>
  </si>
  <si>
    <t>Breadcrumb; active count; add form (⏳ with More options: milestone, announce/silent, due date and time, days to complete); filters (collapsible; ⏳ milestones, overdue/due today/this week, sort by due); task rows (title, frequency, source, status, streak 🔥, priority select, ✓; ⏳ 🏁 milestone, due chip, 🔕 silent); ⏳ "Rewards you can earn here" (matching rewards with progress)</t>
  </si>
  <si>
    <t>loading, error, "No tasks yet" / "No tasks match these filters"; ⏳ "No rewards for this area yet" + create link prefilled with this scope</t>
  </si>
  <si>
    <t>add task, filter, reprioritise, quick complete, open task; ⏳ create reward for this area</t>
  </si>
  <si>
    <t>Task</t>
  </si>
  <si>
    <t>Breadcrumb; stats (current, best, completions); log completion (when + note); matching rewards (tagged, or ⏳ "Counts automatically") + tag select limited to in-scope rewards; settings chips; activity log</t>
  </si>
  <si>
    <t>loading, error, "No completions yet", inactive-task notice</t>
  </si>
  <si>
    <t>complete, tag reward, change settings</t>
  </si>
  <si>
    <t>Status filter (⏳ plus *Ideas* and *Closed*); ⏳ for-whom filter; ⏳ "+ Idea" quick capture; ⏳ idea cards (photo, title, for whom, where seen, *Turn into reward*, *Bought*, *Dropped*); ⏳ tile and area filters; create form (⏳ tile → area → match mode, then task picker limited to scope, grouped by area); cards: image, title, ⏳ scope breadcrumb + match mode, status, rule, progress, tags</t>
  </si>
  <si>
    <t>loading, error, empty per filter; ⏳ *Needs a tile* badge</t>
  </si>
  <si>
    <t>create, claim, edit tasks, ⏳ change scope (locked only)</t>
  </si>
  <si>
    <t>Touch and accessibility: controls ≥ 44 px high (chips ≥ 36 px), inputs 16 px, labelled controls, role="radiogroup" chips, aria-live toasts, focus ring visible, reduced-motion respected.</t>
  </si>
  <si>
    <t>5. User-facing messages</t>
  </si>
  <si>
    <t>Code / situation</t>
  </si>
  <si>
    <t>Message</t>
  </si>
  <si>
    <t>BFF unreachable</t>
  </si>
  <si>
    <t>"Can't reach the rewards service. Is the BFF running?"</t>
  </si>
  <si>
    <t>Remote unavailable (host)</t>
  </si>
  <si>
    <t>"Rewards is unavailable right now. The rewards module couldn't be loaded. The rest of the site still works."</t>
  </si>
  <si>
    <t>Duplicate area</t>
  </si>
  <si>
    <t>"'&lt;name&gt;' already exists in this category"</t>
  </si>
  <si>
    <t>Complete inactive task</t>
  </si>
  <si>
    <t>"Only active tasks can be completed (this one is &lt;status&gt;)"</t>
  </si>
  <si>
    <t>Future completion</t>
  </si>
  <si>
    <t>"completedAt cannot be in the future"</t>
  </si>
  <si>
    <t>Claim locked reward</t>
  </si>
  <si>
    <t>"This reward is still locked"</t>
  </si>
  <si>
    <t>Unknown tagged tasks</t>
  </si>
  <si>
    <t>"Unknown task ids: [..]"</t>
  </si>
  <si>
    <t>Unlock</t>
  </si>
  <si>
    <t>"🎉 Reward unlocked: &lt;title&gt;"</t>
  </si>
  <si>
    <t>⏳ Duplicate tile</t>
  </si>
  <si>
    <t>"'&lt;name&gt;' already exists"</t>
  </si>
  <si>
    <t>⏳ Delete tile</t>
  </si>
  <si>
    <t>"Delete &lt;tile&gt;? This removes &lt;n&gt; areas, &lt;n&gt; tasks, &lt;n&gt; completions, &lt;n&gt; rewards and &lt;n&gt; notes, contacts and files. A backup is saved first. Type &lt;tile&gt; to confirm."</t>
  </si>
  <si>
    <t>⏳ Starter set</t>
  </si>
  <si>
    <t>"Added &lt;n&gt; tiles and &lt;n&gt; areas" / "You already have all the suggested tiles"</t>
  </si>
  <si>
    <t>⏳ File too large or wrong type</t>
  </si>
  <si>
    <t>"Files must be PDF, JPG, PNG, WebP or HEIC, up to 10 MB"</t>
  </si>
  <si>
    <t>⏳ No details yet</t>
  </si>
  <si>
    <t>"No notes or contacts yet. Add a customer-care number, the last executive or a bill."</t>
  </si>
  <si>
    <t>⏳ Milestone celebration</t>
  </si>
  <si>
    <t>"🏁 Milestone reached: &lt;title&gt;!" (with share prompt when announced)</t>
  </si>
  <si>
    <t>⏳ Share text</t>
  </si>
  <si>
    <t>"Done: &lt;title&gt; 🔥 &lt;n&gt;-day streak" / "Milestone reached: &lt;title&gt; 🏁"</t>
  </si>
  <si>
    <t>⏳ Silent completion</t>
  </si>
  <si>
    <t>"Logged"</t>
  </si>
  <si>
    <t>⏳ Overdue chip</t>
  </si>
  <si>
    <t>"Overdue" / "Due today" / "Due in &lt;n&gt; days"</t>
  </si>
  <si>
    <t>⏳ Milestone reward without milestones</t>
  </si>
  <si>
    <t>"Tag at least one milestone task to use this rule"</t>
  </si>
  <si>
    <t>⏳ Idea saved</t>
  </si>
  <si>
    <t>"Idea saved for &lt;for whom&gt;"</t>
  </si>
  <si>
    <t>⏳ Idea closed</t>
  </si>
  <si>
    <t>"Marked as bought" / "Dropped. You can reopen it from Closed"</t>
  </si>
  <si>
    <t>⏳ Turn into reward</t>
  </si>
  <si>
    <t>"Now a reward: &lt;title&gt;. Complete the tagged tasks to unlock it"</t>
  </si>
  <si>
    <t>⏳ Tag outside scope</t>
  </si>
  <si>
    <t>"“&lt;task&gt;” isn't in &lt;tile&gt; › &lt;area&gt;"</t>
  </si>
  <si>
    <t>⏳ Area from another tile</t>
  </si>
  <si>
    <t>"&lt;area&gt; isn't part of &lt;tile&gt;"</t>
  </si>
  <si>
    <t>⏳ Reward needs a tile</t>
  </si>
  <si>
    <t>"Pick a tile for this reward to keep editing it"</t>
  </si>
  <si>
    <t>⏳ Narrowing scope</t>
  </si>
  <si>
    <t>"Changing the scope will untag: &lt;task list&gt;. Continue?"</t>
  </si>
  <si>
    <t>⏳ AI fallback</t>
  </si>
  <si>
    <t>"AI suggestions unavailable, add tasks manually"</t>
  </si>
  <si>
    <t>6. Detailed non-functional requirements</t>
  </si>
  <si>
    <t>Verification</t>
  </si>
  <si>
    <t>build output</t>
  </si>
  <si>
    <t>Resource Timing</t>
  </si>
  <si>
    <t>st.cache_data TTL</t>
  </si>
  <si>
    <t>measured scrollWidth = viewport</t>
  </si>
  <si>
    <t>code review (task_stats)</t>
  </si>
  <si>
    <t>traceability §7</t>
  </si>
  <si>
    <t>migration tests</t>
  </si>
  <si>
    <t>code review, upload tests</t>
  </si>
  <si>
    <t>test with generated data</t>
  </si>
  <si>
    <t>privacy tests</t>
  </si>
  <si>
    <t>UTCDateTime raises</t>
  </si>
  <si>
    <t>7. Traceability matrix</t>
  </si>
  <si>
    <t>Endpoint(s)</t>
  </si>
  <si>
    <t>Automated test(s)</t>
  </si>
  <si>
    <t>LLR-1.1 (superseded)</t>
  </si>
  <si>
    <t>lifespan seed, GET /categories</t>
  </si>
  <si>
    <t>test_seeded_tiles_and_sub_tiles (to be replaced by the LLR-1.7 tests)</t>
  </si>
  <si>
    <t>LLR-1.3–1.5</t>
  </si>
  <si>
    <t>POST/PATCH/DELETE /areas</t>
  </si>
  <si>
    <t>test_area_add_rename_delete</t>
  </si>
  <si>
    <t>LLR-1.7–1.13; BR-R17–R19; LLR-8.10</t>
  </si>
  <si>
    <t>/categories*</t>
  </si>
  <si>
    <t>⏳ planned: test_fresh_database_has_no_tiles, test_starter_set_is_idempotent, test_tile_crud_and_unique_names, test_delete_tile_snapshots_and_cascades, test_upgrade_keeps_existing_tiles</t>
  </si>
  <si>
    <t>LLR-12.1–12.9; BR-R27–R30; LLR-8.13</t>
  </si>
  <si>
    <t>/rewards*</t>
  </si>
  <si>
    <t>⏳ planned: test_idea_needs_only_title, test_idea_never_unlocks_or_counts, test_activate_idea_keeps_details_and_evaluates, test_close_and_reopen_idea, test_ideas_silent_by_default, test_filter_by_for_whom, test_migration_defaults_existing_rewards</t>
  </si>
  <si>
    <t>LLR-11.1–11.13; BR-R22–R26; LLR-8.12</t>
  </si>
  <si>
    <t>tasks, rewards, /dashboard/summary</t>
  </si>
  <si>
    <t>⏳ planned: test_task_planning_fields_round_trip, test_overdue_rules, test_milestone_reward_needs_all_milestones, test_silent_tasks_invisible_without_passcode, test_silent_completion_has_no_celebration_flag, test_migration_defaults_existing_tasks</t>
  </si>
  <si>
    <t>LLR-10.1–10.12; BR-R20–R21; LLR-8.11</t>
  </si>
  <si>
    <t>details, files, /search</t>
  </si>
  <si>
    <t>⏳ planned: test_details_grouped_by_topic, test_last_executive_is_latest_visit, test_file_upload_rules, test_search_matches_phone_digits, test_read_only_view_shows_details_but_blocks_edits</t>
  </si>
  <si>
    <t>LLR-2.1, 2.3–2.5, 2.8, 2.9</t>
  </si>
  <si>
    <t>POST /areas/{id}/tasks, GET /areas/{id}/tasks, PATCH /tasks/{id}, GET /tasks</t>
  </si>
  <si>
    <t>test_create_filter_and_reprioritise_tasks</t>
  </si>
  <si>
    <t>LLR-3.1, 3.6, 3.7; BR-R2–R4</t>
  </si>
  <si>
    <t>POST /tasks/{id}/complete, GET /tasks/{id}/activity, GET /tasks/{id}</t>
  </si>
  <si>
    <t>test_completions_build_streak_and_activity_log, test_daily_streak, test_weekly_streak</t>
  </si>
  <si>
    <t>LLR-3.3–3.5; BR-R4, R5</t>
  </si>
  <si>
    <t>POST /tasks/{id}/complete</t>
  </si>
  <si>
    <t>test_completion_rules, test_one_off_streak_is_done_or_not</t>
  </si>
  <si>
    <t>LLR-4.1, 4.2, 4.6, 4.7; BR-R7, R9, R10</t>
  </si>
  <si>
    <t>test_reward_unlocks_on_completion_count_then_claim, test_reward_already_met_unlocks_on_create_and_rejects_unknown_tasks, test_completions_rule_progress</t>
  </si>
  <si>
    <t>test_streak_reward_uses_best_current_streak_across_tasks, test_streak_rule_progress</t>
  </si>
  <si>
    <t>test_unlocked_reward_stays_complete_after_streak_breaks</t>
  </si>
  <si>
    <t>LLR-5.1, 5.9, 5.10</t>
  </si>
  <si>
    <t>GET /dashboard/summary</t>
  </si>
  <si>
    <t>test_dashboard_summary_is_flat_snake_case</t>
  </si>
  <si>
    <t>all</t>
  </si>
  <si>
    <t>test_requires_demo_token</t>
  </si>
  <si>
    <t>LLR-7.x, 5.2–5.8</t>
  </si>
  <si>
    <t>Manual E2E (browser, 375 px); planned Playwright smoke</t>
  </si>
  <si>
    <t>planned: adapter tests with FakeVisionAdapter, fallback tests</t>
  </si>
  <si>
    <t>LLR-4.9–4.11, 4.16; BR-R12</t>
  </si>
  <si>
    <t>POST/PATCH /rewards, PUT /rewards/{id}/tasks</t>
  </si>
  <si>
    <t>⏳ planned: test_reward_scope_validation, test_tagging_outside_scope_rejected, test_narrowing_scope_untags</t>
  </si>
  <si>
    <t>LLR-4.10; BR-R13–R15</t>
  </si>
  <si>
    <t>⏳ planned: test_all_in_scope_counts_untagged_and_new_tasks, test_other_tile_never_counts</t>
  </si>
  <si>
    <t>LLR-4.14, 4.15; LLR-8.8</t>
  </si>
  <si>
    <t>GET /areas/{id}/rewards, GET /tasks/{id}</t>
  </si>
  <si>
    <t>⏳ planned: test_area_lists_matching_rewards, test_task_detail_lists_matching_rewards</t>
  </si>
  <si>
    <t>DELETE /areas/{id}</t>
  </si>
  <si>
    <t>⏳ planned: test_deleting_area_widens_reward_scope</t>
  </si>
  <si>
    <t>LLR-8.9; NFR-D8</t>
  </si>
  <si>
    <t>startup migrations, app.backup</t>
  </si>
  <si>
    <t>test_models_match_migrations, test_pre_migration_database_is_stamped_not_rebuilt, test_migrate_is_idempotent, test_export_import_round_trip, test_import_refuses_non_empty_target_without_replace</t>
  </si>
  <si>
    <t>LLR-4.18; BR-R16</t>
  </si>
  <si>
    <t>migration 0002_reward_scope</t>
  </si>
  <si>
    <t>⏳ planned: test_migration_infers_scope_and_keeps_data (runs against a pre-migration fixture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</si>
</sst>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A1A1A"/>
      <name val="Arial"/>
    </font>
    <font>
      <sz val="11"/>
      <color rgb="FF404040"/>
      <name val="Arial"/>
    </font>
    <font>
      <b/>
      <sz val="12"/>
      <color rgb="FF1A1A1A"/>
      <name val="Arial"/>
    </font>
    <font>
      <i/>
      <sz val="11"/>
      <color rgb="FF404040"/>
      <name val="Arial"/>
    </font>
    <font>
      <b/>
      <sz val="11"/>
      <color rgb="FFFFFFFF"/>
      <name val="Arial"/>
    </font>
    <font>
      <b/>
      <sz val="11"/>
      <color rgb="FF1A1A1A"/>
      <name val="Arial"/>
    </font>
  </fonts>
  <fills count="5">
    <fill>
      <patternFill patternType="none"/>
    </fill>
    <fill>
      <patternFill patternType="gray125"/>
    </fill>
    <fill>
      <patternFill patternType="solid">
        <fgColor rgb="FFF0F5FD"/>
      </patternFill>
    </fill>
    <fill>
      <patternFill patternType="solid">
        <fgColor rgb="FF305BAB"/>
      </patternFill>
    </fill>
    <fill>
      <patternFill patternType="solid">
        <fgColor rgb="FFFFF6B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1" fillId="0" borderId="0" xfId="0" applyFont="1"/>
    <xf numFmtId="0" fontId="4" fillId="0" borderId="0" xfId="0" applyFont="1"/>
    <xf numFmtId="0" fontId="5" fillId="3" borderId="1" xfId="0" applyFont="1" applyFill="1" applyBorder="1" applyAlignment="1">
      <alignment vertical="center" wrapText="1"/>
    </xf>
    <xf numFmtId="0" fontId="2" fillId="0" borderId="1" xfId="0" applyFont="1" applyBorder="1" applyAlignment="1">
      <alignment vertical="top" wrapText="1"/>
    </xf>
    <xf numFmtId="0" fontId="2" fillId="4" borderId="1" xfId="0" applyFont="1" applyFill="1" applyBorder="1" applyAlignment="1">
      <alignment vertical="top" wrapText="1"/>
    </xf>
    <xf numFmtId="9" fontId="2" fillId="0" borderId="1" xfId="0" applyNumberFormat="1" applyFont="1" applyBorder="1" applyAlignment="1">
      <alignment vertical="top" wrapText="1"/>
    </xf>
    <xf numFmtId="0" fontId="6" fillId="0" borderId="1" xfId="0" applyFont="1" applyBorder="1" applyAlignment="1">
      <alignment vertical="top" wrapText="1"/>
    </xf>
    <xf numFmtId="9" fontId="6" fillId="0" borderId="1" xfId="0" applyNumberFormat="1" applyFont="1" applyBorder="1" applyAlignment="1">
      <alignment vertical="top" wrapText="1"/>
    </xf>
    <xf numFmtId="0" fontId="2" fillId="0" borderId="0" xfId="0" applyFont="1" applyAlignment="1">
      <alignment vertical="top"/>
    </xf>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abSelected="1" workbookViewId="0"/>
  </sheetViews>
  <sheetFormatPr defaultRowHeight="14.5" x14ac:dyDescent="0.35"/>
  <cols>
    <col min="1" max="1" width="130" customWidth="1"/>
  </cols>
  <sheetData>
    <row r="1" spans="1:1" ht="20" x14ac:dyDescent="0.35">
      <c r="A1" s="1" t="s">
        <v>0</v>
      </c>
    </row>
    <row r="2" spans="1:1" x14ac:dyDescent="0.35">
      <c r="A2" s="2" t="s">
        <v>1</v>
      </c>
    </row>
    <row r="3" spans="1:1" x14ac:dyDescent="0.35">
      <c r="A3" s="2"/>
    </row>
    <row r="4" spans="1:1" ht="15.5" x14ac:dyDescent="0.35">
      <c r="A4" s="3" t="s">
        <v>2</v>
      </c>
    </row>
    <row r="5" spans="1:1" ht="28" x14ac:dyDescent="0.35">
      <c r="A5" s="2" t="s">
        <v>3</v>
      </c>
    </row>
    <row r="6" spans="1:1" ht="28" x14ac:dyDescent="0.35">
      <c r="A6" s="2" t="s">
        <v>4</v>
      </c>
    </row>
    <row r="7" spans="1:1" x14ac:dyDescent="0.35">
      <c r="A7" s="2" t="s">
        <v>5</v>
      </c>
    </row>
    <row r="8" spans="1:1" x14ac:dyDescent="0.35">
      <c r="A8" s="2" t="s">
        <v>6</v>
      </c>
    </row>
    <row r="9" spans="1:1" x14ac:dyDescent="0.35">
      <c r="A9" s="2" t="s">
        <v>7</v>
      </c>
    </row>
    <row r="10" spans="1:1" x14ac:dyDescent="0.35">
      <c r="A10" s="2"/>
    </row>
    <row r="11" spans="1:1" ht="15.5" x14ac:dyDescent="0.35">
      <c r="A11" s="3" t="s">
        <v>8</v>
      </c>
    </row>
    <row r="12" spans="1:1" x14ac:dyDescent="0.35">
      <c r="A12" s="2" t="s">
        <v>9</v>
      </c>
    </row>
    <row r="13" spans="1:1" x14ac:dyDescent="0.35">
      <c r="A13" s="2" t="s">
        <v>10</v>
      </c>
    </row>
    <row r="14" spans="1:1" x14ac:dyDescent="0.35">
      <c r="A14" s="2" t="s">
        <v>11</v>
      </c>
    </row>
    <row r="15" spans="1:1" x14ac:dyDescent="0.35">
      <c r="A15" s="2" t="s">
        <v>12</v>
      </c>
    </row>
    <row r="16" spans="1:1" x14ac:dyDescent="0.35">
      <c r="A16" s="2" t="s">
        <v>13</v>
      </c>
    </row>
    <row r="17" spans="1:1" x14ac:dyDescent="0.35">
      <c r="A17" s="2"/>
    </row>
    <row r="18" spans="1:1" ht="15.5" x14ac:dyDescent="0.35">
      <c r="A18" s="3" t="s">
        <v>14</v>
      </c>
    </row>
    <row r="19" spans="1:1" x14ac:dyDescent="0.35">
      <c r="A19" s="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2"/>
  <sheetViews>
    <sheetView workbookViewId="0">
      <pane xSplit="1" ySplit="4" topLeftCell="B5" activePane="bottomRight" state="frozen"/>
      <selection pane="topRight"/>
      <selection pane="bottomLeft"/>
      <selection pane="bottomRight"/>
    </sheetView>
  </sheetViews>
  <sheetFormatPr defaultRowHeight="14.5" x14ac:dyDescent="0.35"/>
  <cols>
    <col min="1" max="1" width="12" customWidth="1"/>
    <col min="2" max="2" width="24" customWidth="1"/>
    <col min="3" max="3" width="14" customWidth="1"/>
    <col min="4" max="4" width="80" customWidth="1"/>
    <col min="5" max="5" width="20" customWidth="1"/>
    <col min="6" max="6" width="12" customWidth="1"/>
    <col min="7" max="7" width="14" customWidth="1"/>
    <col min="8" max="9" width="40" customWidth="1"/>
    <col min="10" max="10" width="34" customWidth="1"/>
  </cols>
  <sheetData>
    <row r="1" spans="1:10" ht="20" x14ac:dyDescent="0.4">
      <c r="A1" s="4" t="s">
        <v>16</v>
      </c>
    </row>
    <row r="2" spans="1:10" x14ac:dyDescent="0.35">
      <c r="A2" s="5" t="s">
        <v>17</v>
      </c>
    </row>
    <row r="4" spans="1:10" x14ac:dyDescent="0.35">
      <c r="A4" s="6" t="s">
        <v>18</v>
      </c>
      <c r="B4" s="6" t="s">
        <v>19</v>
      </c>
      <c r="C4" s="6" t="s">
        <v>20</v>
      </c>
      <c r="D4" s="6" t="s">
        <v>21</v>
      </c>
      <c r="E4" s="6" t="s">
        <v>22</v>
      </c>
      <c r="F4" s="6" t="s">
        <v>23</v>
      </c>
      <c r="G4" s="6" t="s">
        <v>24</v>
      </c>
      <c r="H4" s="6" t="s">
        <v>25</v>
      </c>
      <c r="I4" s="6" t="s">
        <v>26</v>
      </c>
      <c r="J4" s="6" t="s">
        <v>27</v>
      </c>
    </row>
    <row r="5" spans="1:10" ht="28" x14ac:dyDescent="0.35">
      <c r="A5" s="7" t="s">
        <v>28</v>
      </c>
      <c r="B5" s="7" t="s">
        <v>29</v>
      </c>
      <c r="C5" s="7"/>
      <c r="D5" s="8" t="s">
        <v>30</v>
      </c>
      <c r="E5" s="8"/>
      <c r="F5" s="8" t="s">
        <v>31</v>
      </c>
      <c r="G5" s="8" t="s">
        <v>32</v>
      </c>
      <c r="H5" s="8" t="s">
        <v>33</v>
      </c>
      <c r="I5" s="8"/>
      <c r="J5" s="7" t="s">
        <v>34</v>
      </c>
    </row>
    <row r="6" spans="1:10" ht="28" x14ac:dyDescent="0.35">
      <c r="A6" s="7" t="s">
        <v>35</v>
      </c>
      <c r="B6" s="7" t="s">
        <v>29</v>
      </c>
      <c r="C6" s="7"/>
      <c r="D6" s="8" t="s">
        <v>36</v>
      </c>
      <c r="E6" s="8"/>
      <c r="F6" s="8" t="s">
        <v>31</v>
      </c>
      <c r="G6" s="8" t="s">
        <v>32</v>
      </c>
      <c r="H6" s="8" t="s">
        <v>37</v>
      </c>
      <c r="I6" s="8"/>
      <c r="J6" s="7" t="s">
        <v>34</v>
      </c>
    </row>
    <row r="7" spans="1:10" ht="28" x14ac:dyDescent="0.35">
      <c r="A7" s="7" t="s">
        <v>38</v>
      </c>
      <c r="B7" s="7" t="s">
        <v>29</v>
      </c>
      <c r="C7" s="7"/>
      <c r="D7" s="8" t="s">
        <v>39</v>
      </c>
      <c r="E7" s="8"/>
      <c r="F7" s="8" t="s">
        <v>31</v>
      </c>
      <c r="G7" s="8" t="s">
        <v>32</v>
      </c>
      <c r="H7" s="8" t="s">
        <v>40</v>
      </c>
      <c r="I7" s="8"/>
      <c r="J7" s="7" t="s">
        <v>34</v>
      </c>
    </row>
    <row r="8" spans="1:10" x14ac:dyDescent="0.35">
      <c r="A8" s="7" t="s">
        <v>41</v>
      </c>
      <c r="B8" s="7" t="s">
        <v>29</v>
      </c>
      <c r="C8" s="7"/>
      <c r="D8" s="8" t="s">
        <v>42</v>
      </c>
      <c r="E8" s="8"/>
      <c r="F8" s="8" t="s">
        <v>31</v>
      </c>
      <c r="G8" s="8" t="s">
        <v>32</v>
      </c>
      <c r="H8" s="8" t="s">
        <v>43</v>
      </c>
      <c r="I8" s="8"/>
      <c r="J8" s="7" t="s">
        <v>34</v>
      </c>
    </row>
    <row r="9" spans="1:10" ht="28" x14ac:dyDescent="0.35">
      <c r="A9" s="7" t="s">
        <v>44</v>
      </c>
      <c r="B9" s="7" t="s">
        <v>29</v>
      </c>
      <c r="C9" s="7"/>
      <c r="D9" s="8" t="s">
        <v>45</v>
      </c>
      <c r="E9" s="8"/>
      <c r="F9" s="8" t="s">
        <v>31</v>
      </c>
      <c r="G9" s="8" t="s">
        <v>32</v>
      </c>
      <c r="H9" s="8" t="s">
        <v>46</v>
      </c>
      <c r="I9" s="8"/>
      <c r="J9" s="7" t="s">
        <v>34</v>
      </c>
    </row>
    <row r="10" spans="1:10" ht="28" x14ac:dyDescent="0.35">
      <c r="A10" s="7" t="s">
        <v>47</v>
      </c>
      <c r="B10" s="7" t="s">
        <v>48</v>
      </c>
      <c r="C10" s="7"/>
      <c r="D10" s="8" t="s">
        <v>49</v>
      </c>
      <c r="E10" s="8" t="s">
        <v>50</v>
      </c>
      <c r="F10" s="8" t="s">
        <v>51</v>
      </c>
      <c r="G10" s="8" t="s">
        <v>32</v>
      </c>
      <c r="H10" s="8"/>
      <c r="I10" s="8"/>
      <c r="J10" s="7" t="s">
        <v>34</v>
      </c>
    </row>
    <row r="11" spans="1:10" x14ac:dyDescent="0.35">
      <c r="A11" s="7" t="s">
        <v>52</v>
      </c>
      <c r="B11" s="7" t="s">
        <v>48</v>
      </c>
      <c r="C11" s="7"/>
      <c r="D11" s="8" t="s">
        <v>53</v>
      </c>
      <c r="E11" s="8" t="s">
        <v>54</v>
      </c>
      <c r="F11" s="8" t="s">
        <v>51</v>
      </c>
      <c r="G11" s="8" t="s">
        <v>32</v>
      </c>
      <c r="H11" s="8"/>
      <c r="I11" s="8"/>
      <c r="J11" s="7" t="s">
        <v>34</v>
      </c>
    </row>
    <row r="12" spans="1:10" x14ac:dyDescent="0.35">
      <c r="A12" s="7" t="s">
        <v>55</v>
      </c>
      <c r="B12" s="7" t="s">
        <v>48</v>
      </c>
      <c r="C12" s="7"/>
      <c r="D12" s="8" t="s">
        <v>56</v>
      </c>
      <c r="E12" s="8" t="s">
        <v>54</v>
      </c>
      <c r="F12" s="8" t="s">
        <v>51</v>
      </c>
      <c r="G12" s="8" t="s">
        <v>32</v>
      </c>
      <c r="H12" s="8"/>
      <c r="I12" s="8"/>
      <c r="J12" s="7" t="s">
        <v>34</v>
      </c>
    </row>
    <row r="13" spans="1:10" x14ac:dyDescent="0.35">
      <c r="A13" s="7" t="s">
        <v>57</v>
      </c>
      <c r="B13" s="7" t="s">
        <v>48</v>
      </c>
      <c r="C13" s="7"/>
      <c r="D13" s="8" t="s">
        <v>58</v>
      </c>
      <c r="E13" s="8" t="s">
        <v>54</v>
      </c>
      <c r="F13" s="8" t="s">
        <v>51</v>
      </c>
      <c r="G13" s="8" t="s">
        <v>32</v>
      </c>
      <c r="H13" s="8"/>
      <c r="I13" s="8"/>
      <c r="J13" s="7" t="s">
        <v>34</v>
      </c>
    </row>
    <row r="14" spans="1:10" x14ac:dyDescent="0.35">
      <c r="A14" s="7" t="s">
        <v>59</v>
      </c>
      <c r="B14" s="7" t="s">
        <v>48</v>
      </c>
      <c r="C14" s="7"/>
      <c r="D14" s="8" t="s">
        <v>60</v>
      </c>
      <c r="E14" s="8" t="s">
        <v>54</v>
      </c>
      <c r="F14" s="8" t="s">
        <v>51</v>
      </c>
      <c r="G14" s="8" t="s">
        <v>32</v>
      </c>
      <c r="H14" s="8"/>
      <c r="I14" s="8"/>
      <c r="J14" s="7" t="s">
        <v>34</v>
      </c>
    </row>
    <row r="15" spans="1:10" x14ac:dyDescent="0.35">
      <c r="A15" s="7" t="s">
        <v>61</v>
      </c>
      <c r="B15" s="7" t="s">
        <v>48</v>
      </c>
      <c r="C15" s="7"/>
      <c r="D15" s="8" t="s">
        <v>62</v>
      </c>
      <c r="E15" s="8" t="s">
        <v>63</v>
      </c>
      <c r="F15" s="8" t="s">
        <v>31</v>
      </c>
      <c r="G15" s="8" t="s">
        <v>32</v>
      </c>
      <c r="H15" s="8"/>
      <c r="I15" s="8"/>
      <c r="J15" s="7" t="s">
        <v>34</v>
      </c>
    </row>
    <row r="16" spans="1:10" x14ac:dyDescent="0.35">
      <c r="A16" s="7" t="s">
        <v>64</v>
      </c>
      <c r="B16" s="7" t="s">
        <v>48</v>
      </c>
      <c r="C16" s="7"/>
      <c r="D16" s="8" t="s">
        <v>65</v>
      </c>
      <c r="E16" s="8" t="s">
        <v>54</v>
      </c>
      <c r="F16" s="8" t="s">
        <v>51</v>
      </c>
      <c r="G16" s="8" t="s">
        <v>32</v>
      </c>
      <c r="H16" s="8"/>
      <c r="I16" s="8"/>
      <c r="J16" s="7" t="s">
        <v>34</v>
      </c>
    </row>
    <row r="17" spans="1:10" x14ac:dyDescent="0.35">
      <c r="A17" s="7" t="s">
        <v>66</v>
      </c>
      <c r="B17" s="7" t="s">
        <v>48</v>
      </c>
      <c r="C17" s="7"/>
      <c r="D17" s="8" t="s">
        <v>67</v>
      </c>
      <c r="E17" s="8" t="s">
        <v>54</v>
      </c>
      <c r="F17" s="8" t="s">
        <v>51</v>
      </c>
      <c r="G17" s="8" t="s">
        <v>32</v>
      </c>
      <c r="H17" s="8"/>
      <c r="I17" s="8"/>
      <c r="J17" s="7" t="s">
        <v>34</v>
      </c>
    </row>
    <row r="18" spans="1:10" ht="42" x14ac:dyDescent="0.35">
      <c r="A18" s="7" t="s">
        <v>68</v>
      </c>
      <c r="B18" s="7" t="s">
        <v>48</v>
      </c>
      <c r="C18" s="7"/>
      <c r="D18" s="8" t="s">
        <v>69</v>
      </c>
      <c r="E18" s="8" t="s">
        <v>50</v>
      </c>
      <c r="F18" s="8" t="s">
        <v>51</v>
      </c>
      <c r="G18" s="8" t="s">
        <v>32</v>
      </c>
      <c r="H18" s="8"/>
      <c r="I18" s="8"/>
      <c r="J18" s="7" t="s">
        <v>34</v>
      </c>
    </row>
    <row r="19" spans="1:10" ht="42" x14ac:dyDescent="0.35">
      <c r="A19" s="7" t="s">
        <v>70</v>
      </c>
      <c r="B19" s="7" t="s">
        <v>48</v>
      </c>
      <c r="C19" s="7"/>
      <c r="D19" s="8" t="s">
        <v>71</v>
      </c>
      <c r="E19" s="8" t="s">
        <v>50</v>
      </c>
      <c r="F19" s="8" t="s">
        <v>51</v>
      </c>
      <c r="G19" s="8" t="s">
        <v>32</v>
      </c>
      <c r="H19" s="8"/>
      <c r="I19" s="8"/>
      <c r="J19" s="7" t="s">
        <v>34</v>
      </c>
    </row>
    <row r="20" spans="1:10" ht="56" x14ac:dyDescent="0.35">
      <c r="A20" s="7" t="s">
        <v>72</v>
      </c>
      <c r="B20" s="7" t="s">
        <v>48</v>
      </c>
      <c r="C20" s="7"/>
      <c r="D20" s="8" t="s">
        <v>73</v>
      </c>
      <c r="E20" s="8" t="s">
        <v>50</v>
      </c>
      <c r="F20" s="8" t="s">
        <v>51</v>
      </c>
      <c r="G20" s="8" t="s">
        <v>32</v>
      </c>
      <c r="H20" s="8"/>
      <c r="I20" s="8"/>
      <c r="J20" s="7" t="s">
        <v>34</v>
      </c>
    </row>
    <row r="21" spans="1:10" ht="42" x14ac:dyDescent="0.35">
      <c r="A21" s="7" t="s">
        <v>74</v>
      </c>
      <c r="B21" s="7" t="s">
        <v>48</v>
      </c>
      <c r="C21" s="7"/>
      <c r="D21" s="8" t="s">
        <v>75</v>
      </c>
      <c r="E21" s="8" t="s">
        <v>50</v>
      </c>
      <c r="F21" s="8" t="s">
        <v>51</v>
      </c>
      <c r="G21" s="8" t="s">
        <v>32</v>
      </c>
      <c r="H21" s="8"/>
      <c r="I21" s="8"/>
      <c r="J21" s="7" t="s">
        <v>34</v>
      </c>
    </row>
    <row r="22" spans="1:10" x14ac:dyDescent="0.35">
      <c r="A22" s="7" t="s">
        <v>76</v>
      </c>
      <c r="B22" s="7" t="s">
        <v>77</v>
      </c>
      <c r="C22" s="7" t="s">
        <v>78</v>
      </c>
      <c r="D22" s="8" t="s">
        <v>79</v>
      </c>
      <c r="E22" s="8" t="s">
        <v>80</v>
      </c>
      <c r="F22" s="8" t="s">
        <v>51</v>
      </c>
      <c r="G22" s="8" t="s">
        <v>32</v>
      </c>
      <c r="H22" s="8"/>
      <c r="I22" s="8"/>
      <c r="J22" s="7" t="s">
        <v>34</v>
      </c>
    </row>
    <row r="23" spans="1:10" x14ac:dyDescent="0.35">
      <c r="A23" s="7" t="s">
        <v>81</v>
      </c>
      <c r="B23" s="7" t="s">
        <v>77</v>
      </c>
      <c r="C23" s="7" t="s">
        <v>78</v>
      </c>
      <c r="D23" s="8" t="s">
        <v>82</v>
      </c>
      <c r="E23" s="8" t="s">
        <v>80</v>
      </c>
      <c r="F23" s="8" t="s">
        <v>51</v>
      </c>
      <c r="G23" s="8" t="s">
        <v>32</v>
      </c>
      <c r="H23" s="8"/>
      <c r="I23" s="8"/>
      <c r="J23" s="7" t="s">
        <v>34</v>
      </c>
    </row>
    <row r="24" spans="1:10" ht="28" x14ac:dyDescent="0.35">
      <c r="A24" s="7" t="s">
        <v>83</v>
      </c>
      <c r="B24" s="7" t="s">
        <v>77</v>
      </c>
      <c r="C24" s="7" t="s">
        <v>78</v>
      </c>
      <c r="D24" s="8" t="s">
        <v>84</v>
      </c>
      <c r="E24" s="8" t="s">
        <v>80</v>
      </c>
      <c r="F24" s="8" t="s">
        <v>51</v>
      </c>
      <c r="G24" s="8" t="s">
        <v>32</v>
      </c>
      <c r="H24" s="8"/>
      <c r="I24" s="8"/>
      <c r="J24" s="7" t="s">
        <v>34</v>
      </c>
    </row>
    <row r="25" spans="1:10" x14ac:dyDescent="0.35">
      <c r="A25" s="7" t="s">
        <v>85</v>
      </c>
      <c r="B25" s="7" t="s">
        <v>77</v>
      </c>
      <c r="C25" s="7" t="s">
        <v>78</v>
      </c>
      <c r="D25" s="8" t="s">
        <v>86</v>
      </c>
      <c r="E25" s="8" t="s">
        <v>80</v>
      </c>
      <c r="F25" s="8" t="s">
        <v>51</v>
      </c>
      <c r="G25" s="8" t="s">
        <v>32</v>
      </c>
      <c r="H25" s="8"/>
      <c r="I25" s="8"/>
      <c r="J25" s="7" t="s">
        <v>34</v>
      </c>
    </row>
    <row r="26" spans="1:10" x14ac:dyDescent="0.35">
      <c r="A26" s="7" t="s">
        <v>87</v>
      </c>
      <c r="B26" s="7" t="s">
        <v>77</v>
      </c>
      <c r="C26" s="7" t="s">
        <v>78</v>
      </c>
      <c r="D26" s="8" t="s">
        <v>88</v>
      </c>
      <c r="E26" s="8" t="s">
        <v>80</v>
      </c>
      <c r="F26" s="8" t="s">
        <v>51</v>
      </c>
      <c r="G26" s="8" t="s">
        <v>32</v>
      </c>
      <c r="H26" s="8"/>
      <c r="I26" s="8"/>
      <c r="J26" s="7" t="s">
        <v>34</v>
      </c>
    </row>
    <row r="27" spans="1:10" ht="28" x14ac:dyDescent="0.35">
      <c r="A27" s="7" t="s">
        <v>89</v>
      </c>
      <c r="B27" s="7" t="s">
        <v>77</v>
      </c>
      <c r="C27" s="7" t="s">
        <v>78</v>
      </c>
      <c r="D27" s="8" t="s">
        <v>90</v>
      </c>
      <c r="E27" s="8" t="s">
        <v>80</v>
      </c>
      <c r="F27" s="8" t="s">
        <v>51</v>
      </c>
      <c r="G27" s="8" t="s">
        <v>32</v>
      </c>
      <c r="H27" s="8"/>
      <c r="I27" s="8"/>
      <c r="J27" s="7" t="s">
        <v>34</v>
      </c>
    </row>
    <row r="28" spans="1:10" x14ac:dyDescent="0.35">
      <c r="A28" s="7" t="s">
        <v>91</v>
      </c>
      <c r="B28" s="7" t="s">
        <v>77</v>
      </c>
      <c r="C28" s="7" t="s">
        <v>78</v>
      </c>
      <c r="D28" s="8" t="s">
        <v>92</v>
      </c>
      <c r="E28" s="8" t="s">
        <v>80</v>
      </c>
      <c r="F28" s="8" t="s">
        <v>51</v>
      </c>
      <c r="G28" s="8" t="s">
        <v>32</v>
      </c>
      <c r="H28" s="8"/>
      <c r="I28" s="8"/>
      <c r="J28" s="7" t="s">
        <v>34</v>
      </c>
    </row>
    <row r="29" spans="1:10" ht="28" x14ac:dyDescent="0.35">
      <c r="A29" s="7" t="s">
        <v>93</v>
      </c>
      <c r="B29" s="7" t="s">
        <v>94</v>
      </c>
      <c r="C29" s="7" t="s">
        <v>47</v>
      </c>
      <c r="D29" s="8" t="s">
        <v>95</v>
      </c>
      <c r="E29" s="8" t="s">
        <v>96</v>
      </c>
      <c r="F29" s="8" t="s">
        <v>31</v>
      </c>
      <c r="G29" s="8" t="s">
        <v>32</v>
      </c>
      <c r="H29" s="8"/>
      <c r="I29" s="8"/>
      <c r="J29" s="7" t="s">
        <v>97</v>
      </c>
    </row>
    <row r="30" spans="1:10" ht="28" x14ac:dyDescent="0.35">
      <c r="A30" s="7" t="s">
        <v>98</v>
      </c>
      <c r="B30" s="7" t="s">
        <v>94</v>
      </c>
      <c r="C30" s="7" t="s">
        <v>47</v>
      </c>
      <c r="D30" s="8" t="s">
        <v>99</v>
      </c>
      <c r="E30" s="8" t="s">
        <v>80</v>
      </c>
      <c r="F30" s="8" t="s">
        <v>51</v>
      </c>
      <c r="G30" s="8" t="s">
        <v>32</v>
      </c>
      <c r="H30" s="8"/>
      <c r="I30" s="8"/>
      <c r="J30" s="7" t="s">
        <v>97</v>
      </c>
    </row>
    <row r="31" spans="1:10" ht="28" x14ac:dyDescent="0.35">
      <c r="A31" s="7" t="s">
        <v>100</v>
      </c>
      <c r="B31" s="7" t="s">
        <v>94</v>
      </c>
      <c r="C31" s="7" t="s">
        <v>47</v>
      </c>
      <c r="D31" s="8" t="s">
        <v>101</v>
      </c>
      <c r="E31" s="8" t="s">
        <v>54</v>
      </c>
      <c r="F31" s="8" t="s">
        <v>51</v>
      </c>
      <c r="G31" s="8" t="s">
        <v>32</v>
      </c>
      <c r="H31" s="8"/>
      <c r="I31" s="8"/>
      <c r="J31" s="7" t="s">
        <v>97</v>
      </c>
    </row>
    <row r="32" spans="1:10" ht="28" x14ac:dyDescent="0.35">
      <c r="A32" s="7" t="s">
        <v>102</v>
      </c>
      <c r="B32" s="7" t="s">
        <v>94</v>
      </c>
      <c r="C32" s="7" t="s">
        <v>47</v>
      </c>
      <c r="D32" s="8" t="s">
        <v>103</v>
      </c>
      <c r="E32" s="8" t="s">
        <v>54</v>
      </c>
      <c r="F32" s="8" t="s">
        <v>51</v>
      </c>
      <c r="G32" s="8" t="s">
        <v>32</v>
      </c>
      <c r="H32" s="8"/>
      <c r="I32" s="8"/>
      <c r="J32" s="7" t="s">
        <v>97</v>
      </c>
    </row>
    <row r="33" spans="1:10" ht="28" x14ac:dyDescent="0.35">
      <c r="A33" s="7" t="s">
        <v>104</v>
      </c>
      <c r="B33" s="7" t="s">
        <v>94</v>
      </c>
      <c r="C33" s="7" t="s">
        <v>47</v>
      </c>
      <c r="D33" s="8" t="s">
        <v>105</v>
      </c>
      <c r="E33" s="8" t="s">
        <v>54</v>
      </c>
      <c r="F33" s="8" t="s">
        <v>51</v>
      </c>
      <c r="G33" s="8" t="s">
        <v>32</v>
      </c>
      <c r="H33" s="8"/>
      <c r="I33" s="8"/>
      <c r="J33" s="7" t="s">
        <v>97</v>
      </c>
    </row>
    <row r="34" spans="1:10" ht="28" x14ac:dyDescent="0.35">
      <c r="A34" s="7" t="s">
        <v>106</v>
      </c>
      <c r="B34" s="7" t="s">
        <v>94</v>
      </c>
      <c r="C34" s="7" t="s">
        <v>47</v>
      </c>
      <c r="D34" s="8" t="s">
        <v>107</v>
      </c>
      <c r="E34" s="8" t="s">
        <v>80</v>
      </c>
      <c r="F34" s="8" t="s">
        <v>51</v>
      </c>
      <c r="G34" s="8" t="s">
        <v>32</v>
      </c>
      <c r="H34" s="8"/>
      <c r="I34" s="8"/>
      <c r="J34" s="7" t="s">
        <v>97</v>
      </c>
    </row>
    <row r="35" spans="1:10" ht="28" x14ac:dyDescent="0.35">
      <c r="A35" s="7" t="s">
        <v>108</v>
      </c>
      <c r="B35" s="7" t="s">
        <v>94</v>
      </c>
      <c r="C35" s="7" t="s">
        <v>47</v>
      </c>
      <c r="D35" s="8" t="s">
        <v>109</v>
      </c>
      <c r="E35" s="8" t="s">
        <v>50</v>
      </c>
      <c r="F35" s="8" t="s">
        <v>51</v>
      </c>
      <c r="G35" s="8" t="s">
        <v>32</v>
      </c>
      <c r="H35" s="8"/>
      <c r="I35" s="8"/>
      <c r="J35" s="7" t="s">
        <v>97</v>
      </c>
    </row>
    <row r="36" spans="1:10" ht="56" x14ac:dyDescent="0.35">
      <c r="A36" s="7" t="s">
        <v>110</v>
      </c>
      <c r="B36" s="7" t="s">
        <v>94</v>
      </c>
      <c r="C36" s="7" t="s">
        <v>47</v>
      </c>
      <c r="D36" s="8" t="s">
        <v>111</v>
      </c>
      <c r="E36" s="8" t="s">
        <v>50</v>
      </c>
      <c r="F36" s="8" t="s">
        <v>51</v>
      </c>
      <c r="G36" s="8" t="s">
        <v>32</v>
      </c>
      <c r="H36" s="8"/>
      <c r="I36" s="8"/>
      <c r="J36" s="7" t="s">
        <v>97</v>
      </c>
    </row>
    <row r="37" spans="1:10" ht="28" x14ac:dyDescent="0.35">
      <c r="A37" s="7" t="s">
        <v>112</v>
      </c>
      <c r="B37" s="7" t="s">
        <v>94</v>
      </c>
      <c r="C37" s="7" t="s">
        <v>47</v>
      </c>
      <c r="D37" s="8" t="s">
        <v>113</v>
      </c>
      <c r="E37" s="8" t="s">
        <v>50</v>
      </c>
      <c r="F37" s="8" t="s">
        <v>51</v>
      </c>
      <c r="G37" s="8" t="s">
        <v>32</v>
      </c>
      <c r="H37" s="8"/>
      <c r="I37" s="8"/>
      <c r="J37" s="7" t="s">
        <v>97</v>
      </c>
    </row>
    <row r="38" spans="1:10" ht="28" x14ac:dyDescent="0.35">
      <c r="A38" s="7" t="s">
        <v>114</v>
      </c>
      <c r="B38" s="7" t="s">
        <v>94</v>
      </c>
      <c r="C38" s="7" t="s">
        <v>47</v>
      </c>
      <c r="D38" s="8" t="s">
        <v>115</v>
      </c>
      <c r="E38" s="8" t="s">
        <v>50</v>
      </c>
      <c r="F38" s="8" t="s">
        <v>51</v>
      </c>
      <c r="G38" s="8" t="s">
        <v>32</v>
      </c>
      <c r="H38" s="8"/>
      <c r="I38" s="8"/>
      <c r="J38" s="7" t="s">
        <v>97</v>
      </c>
    </row>
    <row r="39" spans="1:10" ht="28" x14ac:dyDescent="0.35">
      <c r="A39" s="7" t="s">
        <v>116</v>
      </c>
      <c r="B39" s="7" t="s">
        <v>94</v>
      </c>
      <c r="C39" s="7" t="s">
        <v>47</v>
      </c>
      <c r="D39" s="8" t="s">
        <v>117</v>
      </c>
      <c r="E39" s="8" t="s">
        <v>50</v>
      </c>
      <c r="F39" s="8" t="s">
        <v>51</v>
      </c>
      <c r="G39" s="8" t="s">
        <v>32</v>
      </c>
      <c r="H39" s="8"/>
      <c r="I39" s="8"/>
      <c r="J39" s="7" t="s">
        <v>97</v>
      </c>
    </row>
    <row r="40" spans="1:10" ht="42" x14ac:dyDescent="0.35">
      <c r="A40" s="7" t="s">
        <v>118</v>
      </c>
      <c r="B40" s="7" t="s">
        <v>94</v>
      </c>
      <c r="C40" s="7" t="s">
        <v>47</v>
      </c>
      <c r="D40" s="8" t="s">
        <v>119</v>
      </c>
      <c r="E40" s="8" t="s">
        <v>50</v>
      </c>
      <c r="F40" s="8" t="s">
        <v>51</v>
      </c>
      <c r="G40" s="8" t="s">
        <v>32</v>
      </c>
      <c r="H40" s="8"/>
      <c r="I40" s="8"/>
      <c r="J40" s="7" t="s">
        <v>97</v>
      </c>
    </row>
    <row r="41" spans="1:10" ht="28" x14ac:dyDescent="0.35">
      <c r="A41" s="7" t="s">
        <v>120</v>
      </c>
      <c r="B41" s="7" t="s">
        <v>94</v>
      </c>
      <c r="C41" s="7" t="s">
        <v>47</v>
      </c>
      <c r="D41" s="8" t="s">
        <v>121</v>
      </c>
      <c r="E41" s="8" t="s">
        <v>50</v>
      </c>
      <c r="F41" s="8" t="s">
        <v>51</v>
      </c>
      <c r="G41" s="8" t="s">
        <v>32</v>
      </c>
      <c r="H41" s="8"/>
      <c r="I41" s="8"/>
      <c r="J41" s="7" t="s">
        <v>97</v>
      </c>
    </row>
    <row r="42" spans="1:10" ht="42" x14ac:dyDescent="0.35">
      <c r="A42" s="7" t="s">
        <v>122</v>
      </c>
      <c r="B42" s="7" t="s">
        <v>94</v>
      </c>
      <c r="C42" s="7" t="s">
        <v>52</v>
      </c>
      <c r="D42" s="8" t="s">
        <v>123</v>
      </c>
      <c r="E42" s="8" t="s">
        <v>54</v>
      </c>
      <c r="F42" s="8" t="s">
        <v>51</v>
      </c>
      <c r="G42" s="8" t="s">
        <v>32</v>
      </c>
      <c r="H42" s="8"/>
      <c r="I42" s="8"/>
      <c r="J42" s="7" t="s">
        <v>97</v>
      </c>
    </row>
    <row r="43" spans="1:10" ht="28" x14ac:dyDescent="0.35">
      <c r="A43" s="7" t="s">
        <v>124</v>
      </c>
      <c r="B43" s="7" t="s">
        <v>94</v>
      </c>
      <c r="C43" s="7" t="s">
        <v>52</v>
      </c>
      <c r="D43" s="8" t="s">
        <v>125</v>
      </c>
      <c r="E43" s="8" t="s">
        <v>80</v>
      </c>
      <c r="F43" s="8" t="s">
        <v>51</v>
      </c>
      <c r="G43" s="8" t="s">
        <v>32</v>
      </c>
      <c r="H43" s="8"/>
      <c r="I43" s="8"/>
      <c r="J43" s="7" t="s">
        <v>97</v>
      </c>
    </row>
    <row r="44" spans="1:10" ht="28" x14ac:dyDescent="0.35">
      <c r="A44" s="7" t="s">
        <v>126</v>
      </c>
      <c r="B44" s="7" t="s">
        <v>94</v>
      </c>
      <c r="C44" s="7" t="s">
        <v>52</v>
      </c>
      <c r="D44" s="8" t="s">
        <v>127</v>
      </c>
      <c r="E44" s="8" t="s">
        <v>54</v>
      </c>
      <c r="F44" s="8" t="s">
        <v>51</v>
      </c>
      <c r="G44" s="8" t="s">
        <v>32</v>
      </c>
      <c r="H44" s="8"/>
      <c r="I44" s="8"/>
      <c r="J44" s="7" t="s">
        <v>97</v>
      </c>
    </row>
    <row r="45" spans="1:10" ht="28" x14ac:dyDescent="0.35">
      <c r="A45" s="7" t="s">
        <v>128</v>
      </c>
      <c r="B45" s="7" t="s">
        <v>94</v>
      </c>
      <c r="C45" s="7" t="s">
        <v>52</v>
      </c>
      <c r="D45" s="8" t="s">
        <v>129</v>
      </c>
      <c r="E45" s="8" t="s">
        <v>54</v>
      </c>
      <c r="F45" s="8" t="s">
        <v>51</v>
      </c>
      <c r="G45" s="8" t="s">
        <v>32</v>
      </c>
      <c r="H45" s="8"/>
      <c r="I45" s="8"/>
      <c r="J45" s="7" t="s">
        <v>97</v>
      </c>
    </row>
    <row r="46" spans="1:10" ht="28" x14ac:dyDescent="0.35">
      <c r="A46" s="7" t="s">
        <v>130</v>
      </c>
      <c r="B46" s="7" t="s">
        <v>94</v>
      </c>
      <c r="C46" s="7" t="s">
        <v>52</v>
      </c>
      <c r="D46" s="8" t="s">
        <v>131</v>
      </c>
      <c r="E46" s="8" t="s">
        <v>54</v>
      </c>
      <c r="F46" s="8" t="s">
        <v>51</v>
      </c>
      <c r="G46" s="8" t="s">
        <v>32</v>
      </c>
      <c r="H46" s="8"/>
      <c r="I46" s="8"/>
      <c r="J46" s="7" t="s">
        <v>97</v>
      </c>
    </row>
    <row r="47" spans="1:10" ht="28" x14ac:dyDescent="0.35">
      <c r="A47" s="7" t="s">
        <v>132</v>
      </c>
      <c r="B47" s="7" t="s">
        <v>94</v>
      </c>
      <c r="C47" s="7" t="s">
        <v>52</v>
      </c>
      <c r="D47" s="8" t="s">
        <v>133</v>
      </c>
      <c r="E47" s="8" t="s">
        <v>54</v>
      </c>
      <c r="F47" s="8" t="s">
        <v>51</v>
      </c>
      <c r="G47" s="8" t="s">
        <v>32</v>
      </c>
      <c r="H47" s="8"/>
      <c r="I47" s="8"/>
      <c r="J47" s="7" t="s">
        <v>97</v>
      </c>
    </row>
    <row r="48" spans="1:10" ht="28" x14ac:dyDescent="0.35">
      <c r="A48" s="7" t="s">
        <v>134</v>
      </c>
      <c r="B48" s="7" t="s">
        <v>94</v>
      </c>
      <c r="C48" s="7" t="s">
        <v>52</v>
      </c>
      <c r="D48" s="8" t="s">
        <v>135</v>
      </c>
      <c r="E48" s="8" t="s">
        <v>80</v>
      </c>
      <c r="F48" s="8" t="s">
        <v>51</v>
      </c>
      <c r="G48" s="8" t="s">
        <v>32</v>
      </c>
      <c r="H48" s="8"/>
      <c r="I48" s="8"/>
      <c r="J48" s="7" t="s">
        <v>97</v>
      </c>
    </row>
    <row r="49" spans="1:10" ht="28" x14ac:dyDescent="0.35">
      <c r="A49" s="7" t="s">
        <v>136</v>
      </c>
      <c r="B49" s="7" t="s">
        <v>94</v>
      </c>
      <c r="C49" s="7" t="s">
        <v>52</v>
      </c>
      <c r="D49" s="8" t="s">
        <v>137</v>
      </c>
      <c r="E49" s="8" t="s">
        <v>54</v>
      </c>
      <c r="F49" s="8" t="s">
        <v>51</v>
      </c>
      <c r="G49" s="8" t="s">
        <v>32</v>
      </c>
      <c r="H49" s="8"/>
      <c r="I49" s="8"/>
      <c r="J49" s="7" t="s">
        <v>97</v>
      </c>
    </row>
    <row r="50" spans="1:10" ht="28" x14ac:dyDescent="0.35">
      <c r="A50" s="7" t="s">
        <v>138</v>
      </c>
      <c r="B50" s="7" t="s">
        <v>94</v>
      </c>
      <c r="C50" s="7" t="s">
        <v>52</v>
      </c>
      <c r="D50" s="8" t="s">
        <v>139</v>
      </c>
      <c r="E50" s="8" t="s">
        <v>54</v>
      </c>
      <c r="F50" s="8" t="s">
        <v>51</v>
      </c>
      <c r="G50" s="8" t="s">
        <v>32</v>
      </c>
      <c r="H50" s="8"/>
      <c r="I50" s="8"/>
      <c r="J50" s="7" t="s">
        <v>97</v>
      </c>
    </row>
    <row r="51" spans="1:10" ht="28" x14ac:dyDescent="0.35">
      <c r="A51" s="7" t="s">
        <v>140</v>
      </c>
      <c r="B51" s="7" t="s">
        <v>94</v>
      </c>
      <c r="C51" s="7" t="s">
        <v>55</v>
      </c>
      <c r="D51" s="8" t="s">
        <v>141</v>
      </c>
      <c r="E51" s="8" t="s">
        <v>54</v>
      </c>
      <c r="F51" s="8" t="s">
        <v>51</v>
      </c>
      <c r="G51" s="8" t="s">
        <v>32</v>
      </c>
      <c r="H51" s="8"/>
      <c r="I51" s="8"/>
      <c r="J51" s="7" t="s">
        <v>97</v>
      </c>
    </row>
    <row r="52" spans="1:10" ht="28" x14ac:dyDescent="0.35">
      <c r="A52" s="7" t="s">
        <v>142</v>
      </c>
      <c r="B52" s="7" t="s">
        <v>94</v>
      </c>
      <c r="C52" s="7" t="s">
        <v>55</v>
      </c>
      <c r="D52" s="8" t="s">
        <v>143</v>
      </c>
      <c r="E52" s="8" t="s">
        <v>80</v>
      </c>
      <c r="F52" s="8" t="s">
        <v>51</v>
      </c>
      <c r="G52" s="8" t="s">
        <v>32</v>
      </c>
      <c r="H52" s="8"/>
      <c r="I52" s="8"/>
      <c r="J52" s="7" t="s">
        <v>97</v>
      </c>
    </row>
    <row r="53" spans="1:10" ht="28" x14ac:dyDescent="0.35">
      <c r="A53" s="7" t="s">
        <v>144</v>
      </c>
      <c r="B53" s="7" t="s">
        <v>94</v>
      </c>
      <c r="C53" s="7" t="s">
        <v>55</v>
      </c>
      <c r="D53" s="8" t="s">
        <v>145</v>
      </c>
      <c r="E53" s="8" t="s">
        <v>54</v>
      </c>
      <c r="F53" s="8" t="s">
        <v>51</v>
      </c>
      <c r="G53" s="8" t="s">
        <v>32</v>
      </c>
      <c r="H53" s="8"/>
      <c r="I53" s="8"/>
      <c r="J53" s="7" t="s">
        <v>97</v>
      </c>
    </row>
    <row r="54" spans="1:10" ht="28" x14ac:dyDescent="0.35">
      <c r="A54" s="7" t="s">
        <v>146</v>
      </c>
      <c r="B54" s="7" t="s">
        <v>94</v>
      </c>
      <c r="C54" s="7" t="s">
        <v>55</v>
      </c>
      <c r="D54" s="8" t="s">
        <v>147</v>
      </c>
      <c r="E54" s="8" t="s">
        <v>54</v>
      </c>
      <c r="F54" s="8" t="s">
        <v>51</v>
      </c>
      <c r="G54" s="8" t="s">
        <v>32</v>
      </c>
      <c r="H54" s="8"/>
      <c r="I54" s="8"/>
      <c r="J54" s="7" t="s">
        <v>97</v>
      </c>
    </row>
    <row r="55" spans="1:10" ht="28" x14ac:dyDescent="0.35">
      <c r="A55" s="7" t="s">
        <v>148</v>
      </c>
      <c r="B55" s="7" t="s">
        <v>94</v>
      </c>
      <c r="C55" s="7" t="s">
        <v>55</v>
      </c>
      <c r="D55" s="8" t="s">
        <v>149</v>
      </c>
      <c r="E55" s="8" t="s">
        <v>54</v>
      </c>
      <c r="F55" s="8" t="s">
        <v>51</v>
      </c>
      <c r="G55" s="8" t="s">
        <v>32</v>
      </c>
      <c r="H55" s="8"/>
      <c r="I55" s="8"/>
      <c r="J55" s="7" t="s">
        <v>97</v>
      </c>
    </row>
    <row r="56" spans="1:10" ht="28" x14ac:dyDescent="0.35">
      <c r="A56" s="7" t="s">
        <v>150</v>
      </c>
      <c r="B56" s="7" t="s">
        <v>94</v>
      </c>
      <c r="C56" s="7" t="s">
        <v>55</v>
      </c>
      <c r="D56" s="8" t="s">
        <v>151</v>
      </c>
      <c r="E56" s="8" t="s">
        <v>54</v>
      </c>
      <c r="F56" s="8" t="s">
        <v>51</v>
      </c>
      <c r="G56" s="8" t="s">
        <v>32</v>
      </c>
      <c r="H56" s="8"/>
      <c r="I56" s="8"/>
      <c r="J56" s="7" t="s">
        <v>97</v>
      </c>
    </row>
    <row r="57" spans="1:10" ht="28" x14ac:dyDescent="0.35">
      <c r="A57" s="7" t="s">
        <v>152</v>
      </c>
      <c r="B57" s="7" t="s">
        <v>94</v>
      </c>
      <c r="C57" s="7" t="s">
        <v>55</v>
      </c>
      <c r="D57" s="8" t="s">
        <v>153</v>
      </c>
      <c r="E57" s="8" t="s">
        <v>54</v>
      </c>
      <c r="F57" s="8" t="s">
        <v>51</v>
      </c>
      <c r="G57" s="8" t="s">
        <v>32</v>
      </c>
      <c r="H57" s="8"/>
      <c r="I57" s="8"/>
      <c r="J57" s="7" t="s">
        <v>97</v>
      </c>
    </row>
    <row r="58" spans="1:10" ht="28" x14ac:dyDescent="0.35">
      <c r="A58" s="7" t="s">
        <v>154</v>
      </c>
      <c r="B58" s="7" t="s">
        <v>94</v>
      </c>
      <c r="C58" s="7" t="s">
        <v>55</v>
      </c>
      <c r="D58" s="8" t="s">
        <v>155</v>
      </c>
      <c r="E58" s="8" t="s">
        <v>80</v>
      </c>
      <c r="F58" s="8" t="s">
        <v>51</v>
      </c>
      <c r="G58" s="8" t="s">
        <v>32</v>
      </c>
      <c r="H58" s="8"/>
      <c r="I58" s="8"/>
      <c r="J58" s="7" t="s">
        <v>97</v>
      </c>
    </row>
    <row r="59" spans="1:10" ht="28" x14ac:dyDescent="0.35">
      <c r="A59" s="7" t="s">
        <v>156</v>
      </c>
      <c r="B59" s="7" t="s">
        <v>94</v>
      </c>
      <c r="C59" s="7" t="s">
        <v>57</v>
      </c>
      <c r="D59" s="8" t="s">
        <v>157</v>
      </c>
      <c r="E59" s="8" t="s">
        <v>54</v>
      </c>
      <c r="F59" s="8" t="s">
        <v>51</v>
      </c>
      <c r="G59" s="8" t="s">
        <v>32</v>
      </c>
      <c r="H59" s="8"/>
      <c r="I59" s="8"/>
      <c r="J59" s="7" t="s">
        <v>97</v>
      </c>
    </row>
    <row r="60" spans="1:10" ht="28" x14ac:dyDescent="0.35">
      <c r="A60" s="7" t="s">
        <v>158</v>
      </c>
      <c r="B60" s="7" t="s">
        <v>94</v>
      </c>
      <c r="C60" s="7" t="s">
        <v>57</v>
      </c>
      <c r="D60" s="8" t="s">
        <v>159</v>
      </c>
      <c r="E60" s="8" t="s">
        <v>54</v>
      </c>
      <c r="F60" s="8" t="s">
        <v>51</v>
      </c>
      <c r="G60" s="8" t="s">
        <v>32</v>
      </c>
      <c r="H60" s="8"/>
      <c r="I60" s="8"/>
      <c r="J60" s="7" t="s">
        <v>97</v>
      </c>
    </row>
    <row r="61" spans="1:10" ht="28" x14ac:dyDescent="0.35">
      <c r="A61" s="7" t="s">
        <v>160</v>
      </c>
      <c r="B61" s="7" t="s">
        <v>94</v>
      </c>
      <c r="C61" s="7" t="s">
        <v>57</v>
      </c>
      <c r="D61" s="8" t="s">
        <v>161</v>
      </c>
      <c r="E61" s="8" t="s">
        <v>80</v>
      </c>
      <c r="F61" s="8" t="s">
        <v>51</v>
      </c>
      <c r="G61" s="8" t="s">
        <v>32</v>
      </c>
      <c r="H61" s="8"/>
      <c r="I61" s="8"/>
      <c r="J61" s="7" t="s">
        <v>97</v>
      </c>
    </row>
    <row r="62" spans="1:10" ht="28" x14ac:dyDescent="0.35">
      <c r="A62" s="7" t="s">
        <v>162</v>
      </c>
      <c r="B62" s="7" t="s">
        <v>94</v>
      </c>
      <c r="C62" s="7" t="s">
        <v>57</v>
      </c>
      <c r="D62" s="8" t="s">
        <v>163</v>
      </c>
      <c r="E62" s="8" t="s">
        <v>54</v>
      </c>
      <c r="F62" s="8" t="s">
        <v>51</v>
      </c>
      <c r="G62" s="8" t="s">
        <v>32</v>
      </c>
      <c r="H62" s="8"/>
      <c r="I62" s="8"/>
      <c r="J62" s="7" t="s">
        <v>97</v>
      </c>
    </row>
    <row r="63" spans="1:10" ht="28" x14ac:dyDescent="0.35">
      <c r="A63" s="7" t="s">
        <v>164</v>
      </c>
      <c r="B63" s="7" t="s">
        <v>94</v>
      </c>
      <c r="C63" s="7" t="s">
        <v>57</v>
      </c>
      <c r="D63" s="8" t="s">
        <v>165</v>
      </c>
      <c r="E63" s="8" t="s">
        <v>54</v>
      </c>
      <c r="F63" s="8" t="s">
        <v>51</v>
      </c>
      <c r="G63" s="8" t="s">
        <v>32</v>
      </c>
      <c r="H63" s="8"/>
      <c r="I63" s="8"/>
      <c r="J63" s="7" t="s">
        <v>97</v>
      </c>
    </row>
    <row r="64" spans="1:10" ht="28" x14ac:dyDescent="0.35">
      <c r="A64" s="7" t="s">
        <v>166</v>
      </c>
      <c r="B64" s="7" t="s">
        <v>94</v>
      </c>
      <c r="C64" s="7" t="s">
        <v>57</v>
      </c>
      <c r="D64" s="8" t="s">
        <v>167</v>
      </c>
      <c r="E64" s="8" t="s">
        <v>54</v>
      </c>
      <c r="F64" s="8" t="s">
        <v>51</v>
      </c>
      <c r="G64" s="8" t="s">
        <v>32</v>
      </c>
      <c r="H64" s="8"/>
      <c r="I64" s="8"/>
      <c r="J64" s="7" t="s">
        <v>97</v>
      </c>
    </row>
    <row r="65" spans="1:10" ht="28" x14ac:dyDescent="0.35">
      <c r="A65" s="7" t="s">
        <v>168</v>
      </c>
      <c r="B65" s="7" t="s">
        <v>94</v>
      </c>
      <c r="C65" s="7" t="s">
        <v>57</v>
      </c>
      <c r="D65" s="8" t="s">
        <v>169</v>
      </c>
      <c r="E65" s="8" t="s">
        <v>54</v>
      </c>
      <c r="F65" s="8" t="s">
        <v>51</v>
      </c>
      <c r="G65" s="8" t="s">
        <v>32</v>
      </c>
      <c r="H65" s="8"/>
      <c r="I65" s="8"/>
      <c r="J65" s="7" t="s">
        <v>97</v>
      </c>
    </row>
    <row r="66" spans="1:10" ht="28" x14ac:dyDescent="0.35">
      <c r="A66" s="7" t="s">
        <v>170</v>
      </c>
      <c r="B66" s="7" t="s">
        <v>94</v>
      </c>
      <c r="C66" s="7" t="s">
        <v>57</v>
      </c>
      <c r="D66" s="8" t="s">
        <v>171</v>
      </c>
      <c r="E66" s="8" t="s">
        <v>80</v>
      </c>
      <c r="F66" s="8" t="s">
        <v>51</v>
      </c>
      <c r="G66" s="8" t="s">
        <v>32</v>
      </c>
      <c r="H66" s="8"/>
      <c r="I66" s="8"/>
      <c r="J66" s="7" t="s">
        <v>97</v>
      </c>
    </row>
    <row r="67" spans="1:10" ht="56" x14ac:dyDescent="0.35">
      <c r="A67" s="7" t="s">
        <v>172</v>
      </c>
      <c r="B67" s="7" t="s">
        <v>94</v>
      </c>
      <c r="C67" s="7" t="s">
        <v>68</v>
      </c>
      <c r="D67" s="8" t="s">
        <v>173</v>
      </c>
      <c r="E67" s="8" t="s">
        <v>50</v>
      </c>
      <c r="F67" s="8" t="s">
        <v>51</v>
      </c>
      <c r="G67" s="8" t="s">
        <v>32</v>
      </c>
      <c r="H67" s="8"/>
      <c r="I67" s="8"/>
      <c r="J67" s="7" t="s">
        <v>97</v>
      </c>
    </row>
    <row r="68" spans="1:10" ht="42" x14ac:dyDescent="0.35">
      <c r="A68" s="7" t="s">
        <v>174</v>
      </c>
      <c r="B68" s="7" t="s">
        <v>94</v>
      </c>
      <c r="C68" s="7" t="s">
        <v>68</v>
      </c>
      <c r="D68" s="8" t="s">
        <v>175</v>
      </c>
      <c r="E68" s="8" t="s">
        <v>50</v>
      </c>
      <c r="F68" s="8" t="s">
        <v>51</v>
      </c>
      <c r="G68" s="8" t="s">
        <v>32</v>
      </c>
      <c r="H68" s="8"/>
      <c r="I68" s="8"/>
      <c r="J68" s="7" t="s">
        <v>97</v>
      </c>
    </row>
    <row r="69" spans="1:10" ht="28" x14ac:dyDescent="0.35">
      <c r="A69" s="7" t="s">
        <v>176</v>
      </c>
      <c r="B69" s="7" t="s">
        <v>94</v>
      </c>
      <c r="C69" s="7" t="s">
        <v>68</v>
      </c>
      <c r="D69" s="8" t="s">
        <v>177</v>
      </c>
      <c r="E69" s="8" t="s">
        <v>50</v>
      </c>
      <c r="F69" s="8" t="s">
        <v>51</v>
      </c>
      <c r="G69" s="8" t="s">
        <v>32</v>
      </c>
      <c r="H69" s="8"/>
      <c r="I69" s="8"/>
      <c r="J69" s="7" t="s">
        <v>97</v>
      </c>
    </row>
    <row r="70" spans="1:10" ht="28" x14ac:dyDescent="0.35">
      <c r="A70" s="7" t="s">
        <v>178</v>
      </c>
      <c r="B70" s="7" t="s">
        <v>94</v>
      </c>
      <c r="C70" s="7" t="s">
        <v>68</v>
      </c>
      <c r="D70" s="8" t="s">
        <v>179</v>
      </c>
      <c r="E70" s="8" t="s">
        <v>50</v>
      </c>
      <c r="F70" s="8" t="s">
        <v>51</v>
      </c>
      <c r="G70" s="8" t="s">
        <v>32</v>
      </c>
      <c r="H70" s="8"/>
      <c r="I70" s="8"/>
      <c r="J70" s="7" t="s">
        <v>97</v>
      </c>
    </row>
    <row r="71" spans="1:10" ht="42" x14ac:dyDescent="0.35">
      <c r="A71" s="7" t="s">
        <v>180</v>
      </c>
      <c r="B71" s="7" t="s">
        <v>94</v>
      </c>
      <c r="C71" s="7" t="s">
        <v>68</v>
      </c>
      <c r="D71" s="8" t="s">
        <v>181</v>
      </c>
      <c r="E71" s="8" t="s">
        <v>50</v>
      </c>
      <c r="F71" s="8" t="s">
        <v>51</v>
      </c>
      <c r="G71" s="8" t="s">
        <v>32</v>
      </c>
      <c r="H71" s="8"/>
      <c r="I71" s="8"/>
      <c r="J71" s="7" t="s">
        <v>97</v>
      </c>
    </row>
    <row r="72" spans="1:10" ht="28" x14ac:dyDescent="0.35">
      <c r="A72" s="7" t="s">
        <v>182</v>
      </c>
      <c r="B72" s="7" t="s">
        <v>94</v>
      </c>
      <c r="C72" s="7" t="s">
        <v>68</v>
      </c>
      <c r="D72" s="8" t="s">
        <v>183</v>
      </c>
      <c r="E72" s="8" t="s">
        <v>50</v>
      </c>
      <c r="F72" s="8" t="s">
        <v>51</v>
      </c>
      <c r="G72" s="8" t="s">
        <v>32</v>
      </c>
      <c r="H72" s="8"/>
      <c r="I72" s="8"/>
      <c r="J72" s="7" t="s">
        <v>97</v>
      </c>
    </row>
    <row r="73" spans="1:10" ht="42" x14ac:dyDescent="0.35">
      <c r="A73" s="7" t="s">
        <v>184</v>
      </c>
      <c r="B73" s="7" t="s">
        <v>94</v>
      </c>
      <c r="C73" s="7" t="s">
        <v>68</v>
      </c>
      <c r="D73" s="8" t="s">
        <v>185</v>
      </c>
      <c r="E73" s="8" t="s">
        <v>50</v>
      </c>
      <c r="F73" s="8" t="s">
        <v>51</v>
      </c>
      <c r="G73" s="8" t="s">
        <v>32</v>
      </c>
      <c r="H73" s="8"/>
      <c r="I73" s="8"/>
      <c r="J73" s="7" t="s">
        <v>97</v>
      </c>
    </row>
    <row r="74" spans="1:10" ht="42" x14ac:dyDescent="0.35">
      <c r="A74" s="7" t="s">
        <v>186</v>
      </c>
      <c r="B74" s="7" t="s">
        <v>94</v>
      </c>
      <c r="C74" s="7" t="s">
        <v>68</v>
      </c>
      <c r="D74" s="8" t="s">
        <v>187</v>
      </c>
      <c r="E74" s="8" t="s">
        <v>50</v>
      </c>
      <c r="F74" s="8" t="s">
        <v>51</v>
      </c>
      <c r="G74" s="8" t="s">
        <v>32</v>
      </c>
      <c r="H74" s="8"/>
      <c r="I74" s="8"/>
      <c r="J74" s="7" t="s">
        <v>97</v>
      </c>
    </row>
    <row r="75" spans="1:10" ht="42" x14ac:dyDescent="0.35">
      <c r="A75" s="7" t="s">
        <v>188</v>
      </c>
      <c r="B75" s="7" t="s">
        <v>94</v>
      </c>
      <c r="C75" s="7" t="s">
        <v>68</v>
      </c>
      <c r="D75" s="8" t="s">
        <v>189</v>
      </c>
      <c r="E75" s="8" t="s">
        <v>50</v>
      </c>
      <c r="F75" s="8" t="s">
        <v>51</v>
      </c>
      <c r="G75" s="8" t="s">
        <v>32</v>
      </c>
      <c r="H75" s="8"/>
      <c r="I75" s="8"/>
      <c r="J75" s="7" t="s">
        <v>97</v>
      </c>
    </row>
    <row r="76" spans="1:10" ht="70" x14ac:dyDescent="0.35">
      <c r="A76" s="7" t="s">
        <v>190</v>
      </c>
      <c r="B76" s="7" t="s">
        <v>94</v>
      </c>
      <c r="C76" s="7" t="s">
        <v>68</v>
      </c>
      <c r="D76" s="8" t="s">
        <v>191</v>
      </c>
      <c r="E76" s="8" t="s">
        <v>50</v>
      </c>
      <c r="F76" s="8" t="s">
        <v>51</v>
      </c>
      <c r="G76" s="8" t="s">
        <v>32</v>
      </c>
      <c r="H76" s="8"/>
      <c r="I76" s="8"/>
      <c r="J76" s="7" t="s">
        <v>97</v>
      </c>
    </row>
    <row r="77" spans="1:10" ht="28" x14ac:dyDescent="0.35">
      <c r="A77" s="7" t="s">
        <v>192</v>
      </c>
      <c r="B77" s="7" t="s">
        <v>94</v>
      </c>
      <c r="C77" s="7" t="s">
        <v>59</v>
      </c>
      <c r="D77" s="8" t="s">
        <v>193</v>
      </c>
      <c r="E77" s="8" t="s">
        <v>54</v>
      </c>
      <c r="F77" s="8" t="s">
        <v>51</v>
      </c>
      <c r="G77" s="8" t="s">
        <v>32</v>
      </c>
      <c r="H77" s="8"/>
      <c r="I77" s="8"/>
      <c r="J77" s="7" t="s">
        <v>97</v>
      </c>
    </row>
    <row r="78" spans="1:10" ht="28" x14ac:dyDescent="0.35">
      <c r="A78" s="7" t="s">
        <v>194</v>
      </c>
      <c r="B78" s="7" t="s">
        <v>94</v>
      </c>
      <c r="C78" s="7" t="s">
        <v>59</v>
      </c>
      <c r="D78" s="8" t="s">
        <v>195</v>
      </c>
      <c r="E78" s="8" t="s">
        <v>80</v>
      </c>
      <c r="F78" s="8" t="s">
        <v>51</v>
      </c>
      <c r="G78" s="8" t="s">
        <v>32</v>
      </c>
      <c r="H78" s="8"/>
      <c r="I78" s="8"/>
      <c r="J78" s="7" t="s">
        <v>97</v>
      </c>
    </row>
    <row r="79" spans="1:10" ht="28" x14ac:dyDescent="0.35">
      <c r="A79" s="7" t="s">
        <v>196</v>
      </c>
      <c r="B79" s="7" t="s">
        <v>94</v>
      </c>
      <c r="C79" s="7" t="s">
        <v>59</v>
      </c>
      <c r="D79" s="8" t="s">
        <v>197</v>
      </c>
      <c r="E79" s="8" t="s">
        <v>80</v>
      </c>
      <c r="F79" s="8" t="s">
        <v>51</v>
      </c>
      <c r="G79" s="8" t="s">
        <v>32</v>
      </c>
      <c r="H79" s="8"/>
      <c r="I79" s="8"/>
      <c r="J79" s="7" t="s">
        <v>97</v>
      </c>
    </row>
    <row r="80" spans="1:10" ht="28" x14ac:dyDescent="0.35">
      <c r="A80" s="7" t="s">
        <v>198</v>
      </c>
      <c r="B80" s="7" t="s">
        <v>94</v>
      </c>
      <c r="C80" s="7" t="s">
        <v>59</v>
      </c>
      <c r="D80" s="8" t="s">
        <v>199</v>
      </c>
      <c r="E80" s="8" t="s">
        <v>80</v>
      </c>
      <c r="F80" s="8" t="s">
        <v>51</v>
      </c>
      <c r="G80" s="8" t="s">
        <v>32</v>
      </c>
      <c r="H80" s="8"/>
      <c r="I80" s="8"/>
      <c r="J80" s="7" t="s">
        <v>97</v>
      </c>
    </row>
    <row r="81" spans="1:10" ht="28" x14ac:dyDescent="0.35">
      <c r="A81" s="7" t="s">
        <v>200</v>
      </c>
      <c r="B81" s="7" t="s">
        <v>94</v>
      </c>
      <c r="C81" s="7" t="s">
        <v>59</v>
      </c>
      <c r="D81" s="8" t="s">
        <v>201</v>
      </c>
      <c r="E81" s="8" t="s">
        <v>80</v>
      </c>
      <c r="F81" s="8" t="s">
        <v>51</v>
      </c>
      <c r="G81" s="8" t="s">
        <v>32</v>
      </c>
      <c r="H81" s="8"/>
      <c r="I81" s="8"/>
      <c r="J81" s="7" t="s">
        <v>97</v>
      </c>
    </row>
    <row r="82" spans="1:10" ht="28" x14ac:dyDescent="0.35">
      <c r="A82" s="7" t="s">
        <v>202</v>
      </c>
      <c r="B82" s="7" t="s">
        <v>94</v>
      </c>
      <c r="C82" s="7" t="s">
        <v>59</v>
      </c>
      <c r="D82" s="8" t="s">
        <v>203</v>
      </c>
      <c r="E82" s="8" t="s">
        <v>80</v>
      </c>
      <c r="F82" s="8" t="s">
        <v>51</v>
      </c>
      <c r="G82" s="8" t="s">
        <v>32</v>
      </c>
      <c r="H82" s="8"/>
      <c r="I82" s="8"/>
      <c r="J82" s="7" t="s">
        <v>97</v>
      </c>
    </row>
    <row r="83" spans="1:10" ht="28" x14ac:dyDescent="0.35">
      <c r="A83" s="7" t="s">
        <v>204</v>
      </c>
      <c r="B83" s="7" t="s">
        <v>94</v>
      </c>
      <c r="C83" s="7" t="s">
        <v>59</v>
      </c>
      <c r="D83" s="8" t="s">
        <v>205</v>
      </c>
      <c r="E83" s="8" t="s">
        <v>80</v>
      </c>
      <c r="F83" s="8" t="s">
        <v>51</v>
      </c>
      <c r="G83" s="8" t="s">
        <v>32</v>
      </c>
      <c r="H83" s="8"/>
      <c r="I83" s="8"/>
      <c r="J83" s="7" t="s">
        <v>97</v>
      </c>
    </row>
    <row r="84" spans="1:10" ht="28" x14ac:dyDescent="0.35">
      <c r="A84" s="7" t="s">
        <v>206</v>
      </c>
      <c r="B84" s="7" t="s">
        <v>94</v>
      </c>
      <c r="C84" s="7" t="s">
        <v>59</v>
      </c>
      <c r="D84" s="8" t="s">
        <v>207</v>
      </c>
      <c r="E84" s="8" t="s">
        <v>80</v>
      </c>
      <c r="F84" s="8" t="s">
        <v>51</v>
      </c>
      <c r="G84" s="8" t="s">
        <v>32</v>
      </c>
      <c r="H84" s="8"/>
      <c r="I84" s="8"/>
      <c r="J84" s="7" t="s">
        <v>97</v>
      </c>
    </row>
    <row r="85" spans="1:10" ht="28" x14ac:dyDescent="0.35">
      <c r="A85" s="7" t="s">
        <v>208</v>
      </c>
      <c r="B85" s="7" t="s">
        <v>94</v>
      </c>
      <c r="C85" s="7" t="s">
        <v>59</v>
      </c>
      <c r="D85" s="8" t="s">
        <v>209</v>
      </c>
      <c r="E85" s="8" t="s">
        <v>54</v>
      </c>
      <c r="F85" s="8" t="s">
        <v>51</v>
      </c>
      <c r="G85" s="8" t="s">
        <v>32</v>
      </c>
      <c r="H85" s="8"/>
      <c r="I85" s="8"/>
      <c r="J85" s="7" t="s">
        <v>97</v>
      </c>
    </row>
    <row r="86" spans="1:10" ht="28" x14ac:dyDescent="0.35">
      <c r="A86" s="7" t="s">
        <v>210</v>
      </c>
      <c r="B86" s="7" t="s">
        <v>94</v>
      </c>
      <c r="C86" s="7" t="s">
        <v>59</v>
      </c>
      <c r="D86" s="8" t="s">
        <v>211</v>
      </c>
      <c r="E86" s="8" t="s">
        <v>54</v>
      </c>
      <c r="F86" s="8" t="s">
        <v>51</v>
      </c>
      <c r="G86" s="8" t="s">
        <v>32</v>
      </c>
      <c r="H86" s="8"/>
      <c r="I86" s="8"/>
      <c r="J86" s="7" t="s">
        <v>97</v>
      </c>
    </row>
    <row r="87" spans="1:10" ht="28" x14ac:dyDescent="0.35">
      <c r="A87" s="7" t="s">
        <v>212</v>
      </c>
      <c r="B87" s="7" t="s">
        <v>94</v>
      </c>
      <c r="C87" s="7" t="s">
        <v>59</v>
      </c>
      <c r="D87" s="8" t="s">
        <v>213</v>
      </c>
      <c r="E87" s="8" t="s">
        <v>50</v>
      </c>
      <c r="F87" s="8" t="s">
        <v>51</v>
      </c>
      <c r="G87" s="8" t="s">
        <v>32</v>
      </c>
      <c r="H87" s="8"/>
      <c r="I87" s="8"/>
      <c r="J87" s="7" t="s">
        <v>97</v>
      </c>
    </row>
    <row r="88" spans="1:10" ht="28" x14ac:dyDescent="0.35">
      <c r="A88" s="7" t="s">
        <v>214</v>
      </c>
      <c r="B88" s="7" t="s">
        <v>94</v>
      </c>
      <c r="C88" s="7" t="s">
        <v>61</v>
      </c>
      <c r="D88" s="8" t="s">
        <v>215</v>
      </c>
      <c r="E88" s="8" t="s">
        <v>63</v>
      </c>
      <c r="F88" s="8" t="s">
        <v>31</v>
      </c>
      <c r="G88" s="8" t="s">
        <v>32</v>
      </c>
      <c r="H88" s="8"/>
      <c r="I88" s="8"/>
      <c r="J88" s="7" t="s">
        <v>97</v>
      </c>
    </row>
    <row r="89" spans="1:10" ht="28" x14ac:dyDescent="0.35">
      <c r="A89" s="7" t="s">
        <v>216</v>
      </c>
      <c r="B89" s="7" t="s">
        <v>94</v>
      </c>
      <c r="C89" s="7" t="s">
        <v>61</v>
      </c>
      <c r="D89" s="8" t="s">
        <v>217</v>
      </c>
      <c r="E89" s="8" t="s">
        <v>63</v>
      </c>
      <c r="F89" s="8" t="s">
        <v>31</v>
      </c>
      <c r="G89" s="8" t="s">
        <v>32</v>
      </c>
      <c r="H89" s="8"/>
      <c r="I89" s="8"/>
      <c r="J89" s="7" t="s">
        <v>97</v>
      </c>
    </row>
    <row r="90" spans="1:10" ht="28" x14ac:dyDescent="0.35">
      <c r="A90" s="7" t="s">
        <v>218</v>
      </c>
      <c r="B90" s="7" t="s">
        <v>94</v>
      </c>
      <c r="C90" s="7" t="s">
        <v>61</v>
      </c>
      <c r="D90" s="8" t="s">
        <v>219</v>
      </c>
      <c r="E90" s="8" t="s">
        <v>63</v>
      </c>
      <c r="F90" s="8" t="s">
        <v>31</v>
      </c>
      <c r="G90" s="8" t="s">
        <v>32</v>
      </c>
      <c r="H90" s="8"/>
      <c r="I90" s="8"/>
      <c r="J90" s="7" t="s">
        <v>97</v>
      </c>
    </row>
    <row r="91" spans="1:10" ht="28" x14ac:dyDescent="0.35">
      <c r="A91" s="7" t="s">
        <v>220</v>
      </c>
      <c r="B91" s="7" t="s">
        <v>94</v>
      </c>
      <c r="C91" s="7" t="s">
        <v>61</v>
      </c>
      <c r="D91" s="8" t="s">
        <v>221</v>
      </c>
      <c r="E91" s="8" t="s">
        <v>63</v>
      </c>
      <c r="F91" s="8" t="s">
        <v>31</v>
      </c>
      <c r="G91" s="8" t="s">
        <v>32</v>
      </c>
      <c r="H91" s="8"/>
      <c r="I91" s="8"/>
      <c r="J91" s="7" t="s">
        <v>97</v>
      </c>
    </row>
    <row r="92" spans="1:10" ht="28" x14ac:dyDescent="0.35">
      <c r="A92" s="7" t="s">
        <v>222</v>
      </c>
      <c r="B92" s="7" t="s">
        <v>94</v>
      </c>
      <c r="C92" s="7" t="s">
        <v>61</v>
      </c>
      <c r="D92" s="8" t="s">
        <v>223</v>
      </c>
      <c r="E92" s="8" t="s">
        <v>63</v>
      </c>
      <c r="F92" s="8" t="s">
        <v>31</v>
      </c>
      <c r="G92" s="8" t="s">
        <v>32</v>
      </c>
      <c r="H92" s="8"/>
      <c r="I92" s="8"/>
      <c r="J92" s="7" t="s">
        <v>97</v>
      </c>
    </row>
    <row r="93" spans="1:10" ht="28" x14ac:dyDescent="0.35">
      <c r="A93" s="7" t="s">
        <v>224</v>
      </c>
      <c r="B93" s="7" t="s">
        <v>94</v>
      </c>
      <c r="C93" s="7" t="s">
        <v>61</v>
      </c>
      <c r="D93" s="8" t="s">
        <v>225</v>
      </c>
      <c r="E93" s="8" t="s">
        <v>63</v>
      </c>
      <c r="F93" s="8" t="s">
        <v>31</v>
      </c>
      <c r="G93" s="8" t="s">
        <v>32</v>
      </c>
      <c r="H93" s="8"/>
      <c r="I93" s="8"/>
      <c r="J93" s="7" t="s">
        <v>97</v>
      </c>
    </row>
    <row r="94" spans="1:10" ht="28" x14ac:dyDescent="0.35">
      <c r="A94" s="7" t="s">
        <v>226</v>
      </c>
      <c r="B94" s="7" t="s">
        <v>94</v>
      </c>
      <c r="C94" s="7" t="s">
        <v>61</v>
      </c>
      <c r="D94" s="8" t="s">
        <v>227</v>
      </c>
      <c r="E94" s="8" t="s">
        <v>63</v>
      </c>
      <c r="F94" s="8" t="s">
        <v>31</v>
      </c>
      <c r="G94" s="8" t="s">
        <v>32</v>
      </c>
      <c r="H94" s="8"/>
      <c r="I94" s="8"/>
      <c r="J94" s="7" t="s">
        <v>97</v>
      </c>
    </row>
    <row r="95" spans="1:10" ht="28" x14ac:dyDescent="0.35">
      <c r="A95" s="7" t="s">
        <v>228</v>
      </c>
      <c r="B95" s="7" t="s">
        <v>94</v>
      </c>
      <c r="C95" s="7" t="s">
        <v>61</v>
      </c>
      <c r="D95" s="8" t="s">
        <v>229</v>
      </c>
      <c r="E95" s="8" t="s">
        <v>63</v>
      </c>
      <c r="F95" s="8" t="s">
        <v>31</v>
      </c>
      <c r="G95" s="8" t="s">
        <v>32</v>
      </c>
      <c r="H95" s="8"/>
      <c r="I95" s="8"/>
      <c r="J95" s="7" t="s">
        <v>97</v>
      </c>
    </row>
    <row r="96" spans="1:10" ht="28" x14ac:dyDescent="0.35">
      <c r="A96" s="7" t="s">
        <v>230</v>
      </c>
      <c r="B96" s="7" t="s">
        <v>94</v>
      </c>
      <c r="C96" s="7" t="s">
        <v>61</v>
      </c>
      <c r="D96" s="8" t="s">
        <v>231</v>
      </c>
      <c r="E96" s="8" t="s">
        <v>63</v>
      </c>
      <c r="F96" s="8" t="s">
        <v>31</v>
      </c>
      <c r="G96" s="8" t="s">
        <v>32</v>
      </c>
      <c r="H96" s="8"/>
      <c r="I96" s="8"/>
      <c r="J96" s="7" t="s">
        <v>97</v>
      </c>
    </row>
    <row r="97" spans="1:10" ht="28" x14ac:dyDescent="0.35">
      <c r="A97" s="7" t="s">
        <v>232</v>
      </c>
      <c r="B97" s="7" t="s">
        <v>94</v>
      </c>
      <c r="C97" s="7" t="s">
        <v>64</v>
      </c>
      <c r="D97" s="8" t="s">
        <v>233</v>
      </c>
      <c r="E97" s="8" t="s">
        <v>54</v>
      </c>
      <c r="F97" s="8" t="s">
        <v>51</v>
      </c>
      <c r="G97" s="8" t="s">
        <v>32</v>
      </c>
      <c r="H97" s="8"/>
      <c r="I97" s="8"/>
      <c r="J97" s="7" t="s">
        <v>97</v>
      </c>
    </row>
    <row r="98" spans="1:10" ht="28" x14ac:dyDescent="0.35">
      <c r="A98" s="7" t="s">
        <v>234</v>
      </c>
      <c r="B98" s="7" t="s">
        <v>94</v>
      </c>
      <c r="C98" s="7" t="s">
        <v>64</v>
      </c>
      <c r="D98" s="8" t="s">
        <v>235</v>
      </c>
      <c r="E98" s="8" t="s">
        <v>80</v>
      </c>
      <c r="F98" s="8" t="s">
        <v>51</v>
      </c>
      <c r="G98" s="8" t="s">
        <v>32</v>
      </c>
      <c r="H98" s="8"/>
      <c r="I98" s="8"/>
      <c r="J98" s="7" t="s">
        <v>97</v>
      </c>
    </row>
    <row r="99" spans="1:10" ht="28" x14ac:dyDescent="0.35">
      <c r="A99" s="7" t="s">
        <v>236</v>
      </c>
      <c r="B99" s="7" t="s">
        <v>94</v>
      </c>
      <c r="C99" s="7" t="s">
        <v>64</v>
      </c>
      <c r="D99" s="8" t="s">
        <v>237</v>
      </c>
      <c r="E99" s="8" t="s">
        <v>80</v>
      </c>
      <c r="F99" s="8" t="s">
        <v>51</v>
      </c>
      <c r="G99" s="8" t="s">
        <v>32</v>
      </c>
      <c r="H99" s="8"/>
      <c r="I99" s="8"/>
      <c r="J99" s="7" t="s">
        <v>97</v>
      </c>
    </row>
    <row r="100" spans="1:10" ht="28" x14ac:dyDescent="0.35">
      <c r="A100" s="7" t="s">
        <v>238</v>
      </c>
      <c r="B100" s="7" t="s">
        <v>94</v>
      </c>
      <c r="C100" s="7" t="s">
        <v>64</v>
      </c>
      <c r="D100" s="8" t="s">
        <v>239</v>
      </c>
      <c r="E100" s="8" t="s">
        <v>80</v>
      </c>
      <c r="F100" s="8" t="s">
        <v>51</v>
      </c>
      <c r="G100" s="8" t="s">
        <v>32</v>
      </c>
      <c r="H100" s="8"/>
      <c r="I100" s="8"/>
      <c r="J100" s="7" t="s">
        <v>97</v>
      </c>
    </row>
    <row r="101" spans="1:10" ht="28" x14ac:dyDescent="0.35">
      <c r="A101" s="7" t="s">
        <v>240</v>
      </c>
      <c r="B101" s="7" t="s">
        <v>94</v>
      </c>
      <c r="C101" s="7" t="s">
        <v>64</v>
      </c>
      <c r="D101" s="8" t="s">
        <v>241</v>
      </c>
      <c r="E101" s="8" t="s">
        <v>80</v>
      </c>
      <c r="F101" s="8" t="s">
        <v>51</v>
      </c>
      <c r="G101" s="8" t="s">
        <v>32</v>
      </c>
      <c r="H101" s="8"/>
      <c r="I101" s="8"/>
      <c r="J101" s="7" t="s">
        <v>97</v>
      </c>
    </row>
    <row r="102" spans="1:10" ht="28" x14ac:dyDescent="0.35">
      <c r="A102" s="7" t="s">
        <v>242</v>
      </c>
      <c r="B102" s="7" t="s">
        <v>94</v>
      </c>
      <c r="C102" s="7" t="s">
        <v>64</v>
      </c>
      <c r="D102" s="8" t="s">
        <v>243</v>
      </c>
      <c r="E102" s="8" t="s">
        <v>54</v>
      </c>
      <c r="F102" s="8" t="s">
        <v>51</v>
      </c>
      <c r="G102" s="8" t="s">
        <v>32</v>
      </c>
      <c r="H102" s="8"/>
      <c r="I102" s="8"/>
      <c r="J102" s="7" t="s">
        <v>97</v>
      </c>
    </row>
    <row r="103" spans="1:10" ht="28" x14ac:dyDescent="0.35">
      <c r="A103" s="7" t="s">
        <v>244</v>
      </c>
      <c r="B103" s="7" t="s">
        <v>94</v>
      </c>
      <c r="C103" s="7" t="s">
        <v>64</v>
      </c>
      <c r="D103" s="8" t="s">
        <v>245</v>
      </c>
      <c r="E103" s="8" t="s">
        <v>80</v>
      </c>
      <c r="F103" s="8" t="s">
        <v>51</v>
      </c>
      <c r="G103" s="8" t="s">
        <v>32</v>
      </c>
      <c r="H103" s="8"/>
      <c r="I103" s="8"/>
      <c r="J103" s="7" t="s">
        <v>97</v>
      </c>
    </row>
    <row r="104" spans="1:10" ht="28" x14ac:dyDescent="0.35">
      <c r="A104" s="7" t="s">
        <v>246</v>
      </c>
      <c r="B104" s="7" t="s">
        <v>94</v>
      </c>
      <c r="C104" s="7" t="s">
        <v>64</v>
      </c>
      <c r="D104" s="8" t="s">
        <v>247</v>
      </c>
      <c r="E104" s="8" t="s">
        <v>80</v>
      </c>
      <c r="F104" s="8" t="s">
        <v>51</v>
      </c>
      <c r="G104" s="8" t="s">
        <v>32</v>
      </c>
      <c r="H104" s="8"/>
      <c r="I104" s="8"/>
      <c r="J104" s="7" t="s">
        <v>97</v>
      </c>
    </row>
    <row r="105" spans="1:10" ht="28" x14ac:dyDescent="0.35">
      <c r="A105" s="7" t="s">
        <v>248</v>
      </c>
      <c r="B105" s="7" t="s">
        <v>94</v>
      </c>
      <c r="C105" s="7" t="s">
        <v>66</v>
      </c>
      <c r="D105" s="8" t="s">
        <v>249</v>
      </c>
      <c r="E105" s="8" t="s">
        <v>54</v>
      </c>
      <c r="F105" s="8" t="s">
        <v>51</v>
      </c>
      <c r="G105" s="8" t="s">
        <v>32</v>
      </c>
      <c r="H105" s="8"/>
      <c r="I105" s="8"/>
      <c r="J105" s="7" t="s">
        <v>97</v>
      </c>
    </row>
    <row r="106" spans="1:10" ht="28" x14ac:dyDescent="0.35">
      <c r="A106" s="7" t="s">
        <v>250</v>
      </c>
      <c r="B106" s="7" t="s">
        <v>94</v>
      </c>
      <c r="C106" s="7" t="s">
        <v>66</v>
      </c>
      <c r="D106" s="8" t="s">
        <v>251</v>
      </c>
      <c r="E106" s="8" t="s">
        <v>54</v>
      </c>
      <c r="F106" s="8" t="s">
        <v>51</v>
      </c>
      <c r="G106" s="8" t="s">
        <v>32</v>
      </c>
      <c r="H106" s="8"/>
      <c r="I106" s="8"/>
      <c r="J106" s="7" t="s">
        <v>97</v>
      </c>
    </row>
    <row r="107" spans="1:10" ht="28" x14ac:dyDescent="0.35">
      <c r="A107" s="7" t="s">
        <v>252</v>
      </c>
      <c r="B107" s="7" t="s">
        <v>94</v>
      </c>
      <c r="C107" s="7" t="s">
        <v>66</v>
      </c>
      <c r="D107" s="8" t="s">
        <v>253</v>
      </c>
      <c r="E107" s="8" t="s">
        <v>54</v>
      </c>
      <c r="F107" s="8" t="s">
        <v>51</v>
      </c>
      <c r="G107" s="8" t="s">
        <v>32</v>
      </c>
      <c r="H107" s="8"/>
      <c r="I107" s="8"/>
      <c r="J107" s="7" t="s">
        <v>97</v>
      </c>
    </row>
    <row r="108" spans="1:10" ht="28" x14ac:dyDescent="0.35">
      <c r="A108" s="7" t="s">
        <v>254</v>
      </c>
      <c r="B108" s="7" t="s">
        <v>94</v>
      </c>
      <c r="C108" s="7" t="s">
        <v>66</v>
      </c>
      <c r="D108" s="8" t="s">
        <v>255</v>
      </c>
      <c r="E108" s="8" t="s">
        <v>54</v>
      </c>
      <c r="F108" s="8" t="s">
        <v>51</v>
      </c>
      <c r="G108" s="8" t="s">
        <v>32</v>
      </c>
      <c r="H108" s="8"/>
      <c r="I108" s="8"/>
      <c r="J108" s="7" t="s">
        <v>97</v>
      </c>
    </row>
    <row r="109" spans="1:10" ht="28" x14ac:dyDescent="0.35">
      <c r="A109" s="7" t="s">
        <v>256</v>
      </c>
      <c r="B109" s="7" t="s">
        <v>94</v>
      </c>
      <c r="C109" s="7" t="s">
        <v>66</v>
      </c>
      <c r="D109" s="8" t="s">
        <v>257</v>
      </c>
      <c r="E109" s="8" t="s">
        <v>54</v>
      </c>
      <c r="F109" s="8" t="s">
        <v>51</v>
      </c>
      <c r="G109" s="8" t="s">
        <v>32</v>
      </c>
      <c r="H109" s="8"/>
      <c r="I109" s="8"/>
      <c r="J109" s="7" t="s">
        <v>97</v>
      </c>
    </row>
    <row r="110" spans="1:10" ht="28" x14ac:dyDescent="0.35">
      <c r="A110" s="7" t="s">
        <v>258</v>
      </c>
      <c r="B110" s="7" t="s">
        <v>94</v>
      </c>
      <c r="C110" s="7" t="s">
        <v>66</v>
      </c>
      <c r="D110" s="8" t="s">
        <v>259</v>
      </c>
      <c r="E110" s="8" t="s">
        <v>54</v>
      </c>
      <c r="F110" s="8" t="s">
        <v>51</v>
      </c>
      <c r="G110" s="8" t="s">
        <v>32</v>
      </c>
      <c r="H110" s="8"/>
      <c r="I110" s="8"/>
      <c r="J110" s="7" t="s">
        <v>97</v>
      </c>
    </row>
    <row r="111" spans="1:10" ht="42" x14ac:dyDescent="0.35">
      <c r="A111" s="7" t="s">
        <v>260</v>
      </c>
      <c r="B111" s="7" t="s">
        <v>94</v>
      </c>
      <c r="C111" s="7" t="s">
        <v>68</v>
      </c>
      <c r="D111" s="8" t="s">
        <v>261</v>
      </c>
      <c r="E111" s="8" t="s">
        <v>50</v>
      </c>
      <c r="F111" s="8" t="s">
        <v>51</v>
      </c>
      <c r="G111" s="8" t="s">
        <v>32</v>
      </c>
      <c r="H111" s="8"/>
      <c r="I111" s="8"/>
      <c r="J111" s="7" t="s">
        <v>97</v>
      </c>
    </row>
    <row r="112" spans="1:10" ht="42" x14ac:dyDescent="0.35">
      <c r="A112" s="7" t="s">
        <v>262</v>
      </c>
      <c r="B112" s="7" t="s">
        <v>94</v>
      </c>
      <c r="C112" s="7" t="s">
        <v>68</v>
      </c>
      <c r="D112" s="8" t="s">
        <v>263</v>
      </c>
      <c r="E112" s="8" t="s">
        <v>50</v>
      </c>
      <c r="F112" s="8" t="s">
        <v>51</v>
      </c>
      <c r="G112" s="8" t="s">
        <v>32</v>
      </c>
      <c r="H112" s="8"/>
      <c r="I112" s="8"/>
      <c r="J112" s="7" t="s">
        <v>97</v>
      </c>
    </row>
    <row r="113" spans="1:10" ht="28" x14ac:dyDescent="0.35">
      <c r="A113" s="7" t="s">
        <v>264</v>
      </c>
      <c r="B113" s="7" t="s">
        <v>94</v>
      </c>
      <c r="C113" s="7" t="s">
        <v>66</v>
      </c>
      <c r="D113" s="8" t="s">
        <v>265</v>
      </c>
      <c r="E113" s="8" t="s">
        <v>54</v>
      </c>
      <c r="F113" s="8" t="s">
        <v>51</v>
      </c>
      <c r="G113" s="8" t="s">
        <v>32</v>
      </c>
      <c r="H113" s="8"/>
      <c r="I113" s="8"/>
      <c r="J113" s="7" t="s">
        <v>97</v>
      </c>
    </row>
    <row r="114" spans="1:10" ht="42" x14ac:dyDescent="0.35">
      <c r="A114" s="7" t="s">
        <v>266</v>
      </c>
      <c r="B114" s="7" t="s">
        <v>94</v>
      </c>
      <c r="C114" s="7" t="s">
        <v>47</v>
      </c>
      <c r="D114" s="8" t="s">
        <v>267</v>
      </c>
      <c r="E114" s="8" t="s">
        <v>50</v>
      </c>
      <c r="F114" s="8" t="s">
        <v>51</v>
      </c>
      <c r="G114" s="8" t="s">
        <v>32</v>
      </c>
      <c r="H114" s="8"/>
      <c r="I114" s="8"/>
      <c r="J114" s="7" t="s">
        <v>97</v>
      </c>
    </row>
    <row r="115" spans="1:10" ht="42" x14ac:dyDescent="0.35">
      <c r="A115" s="7" t="s">
        <v>268</v>
      </c>
      <c r="B115" s="7" t="s">
        <v>94</v>
      </c>
      <c r="C115" s="7" t="s">
        <v>70</v>
      </c>
      <c r="D115" s="8" t="s">
        <v>269</v>
      </c>
      <c r="E115" s="8" t="s">
        <v>50</v>
      </c>
      <c r="F115" s="8" t="s">
        <v>51</v>
      </c>
      <c r="G115" s="8" t="s">
        <v>32</v>
      </c>
      <c r="H115" s="8"/>
      <c r="I115" s="8"/>
      <c r="J115" s="7" t="s">
        <v>97</v>
      </c>
    </row>
    <row r="116" spans="1:10" ht="56" x14ac:dyDescent="0.35">
      <c r="A116" s="7" t="s">
        <v>270</v>
      </c>
      <c r="B116" s="7" t="s">
        <v>94</v>
      </c>
      <c r="C116" s="7" t="s">
        <v>72</v>
      </c>
      <c r="D116" s="8" t="s">
        <v>271</v>
      </c>
      <c r="E116" s="8" t="s">
        <v>50</v>
      </c>
      <c r="F116" s="8" t="s">
        <v>51</v>
      </c>
      <c r="G116" s="8" t="s">
        <v>32</v>
      </c>
      <c r="H116" s="8"/>
      <c r="I116" s="8"/>
      <c r="J116" s="7" t="s">
        <v>97</v>
      </c>
    </row>
    <row r="117" spans="1:10" ht="56" x14ac:dyDescent="0.35">
      <c r="A117" s="7" t="s">
        <v>272</v>
      </c>
      <c r="B117" s="7" t="s">
        <v>94</v>
      </c>
      <c r="C117" s="7" t="s">
        <v>74</v>
      </c>
      <c r="D117" s="8" t="s">
        <v>273</v>
      </c>
      <c r="E117" s="8" t="s">
        <v>50</v>
      </c>
      <c r="F117" s="8" t="s">
        <v>51</v>
      </c>
      <c r="G117" s="8" t="s">
        <v>32</v>
      </c>
      <c r="H117" s="8"/>
      <c r="I117" s="8"/>
      <c r="J117" s="7" t="s">
        <v>97</v>
      </c>
    </row>
    <row r="118" spans="1:10" ht="42" x14ac:dyDescent="0.35">
      <c r="A118" s="7" t="s">
        <v>274</v>
      </c>
      <c r="B118" s="7" t="s">
        <v>94</v>
      </c>
      <c r="C118" s="7" t="s">
        <v>70</v>
      </c>
      <c r="D118" s="8" t="s">
        <v>275</v>
      </c>
      <c r="E118" s="8" t="s">
        <v>50</v>
      </c>
      <c r="F118" s="8" t="s">
        <v>51</v>
      </c>
      <c r="G118" s="8" t="s">
        <v>32</v>
      </c>
      <c r="H118" s="8"/>
      <c r="I118" s="8"/>
      <c r="J118" s="7" t="s">
        <v>97</v>
      </c>
    </row>
    <row r="119" spans="1:10" ht="28" x14ac:dyDescent="0.35">
      <c r="A119" s="7" t="s">
        <v>276</v>
      </c>
      <c r="B119" s="7" t="s">
        <v>94</v>
      </c>
      <c r="C119" s="7" t="s">
        <v>70</v>
      </c>
      <c r="D119" s="8" t="s">
        <v>277</v>
      </c>
      <c r="E119" s="8" t="s">
        <v>50</v>
      </c>
      <c r="F119" s="8" t="s">
        <v>51</v>
      </c>
      <c r="G119" s="8" t="s">
        <v>32</v>
      </c>
      <c r="H119" s="8"/>
      <c r="I119" s="8"/>
      <c r="J119" s="7" t="s">
        <v>97</v>
      </c>
    </row>
    <row r="120" spans="1:10" ht="56" x14ac:dyDescent="0.35">
      <c r="A120" s="7" t="s">
        <v>278</v>
      </c>
      <c r="B120" s="7" t="s">
        <v>94</v>
      </c>
      <c r="C120" s="7" t="s">
        <v>70</v>
      </c>
      <c r="D120" s="8" t="s">
        <v>279</v>
      </c>
      <c r="E120" s="8" t="s">
        <v>50</v>
      </c>
      <c r="F120" s="8" t="s">
        <v>51</v>
      </c>
      <c r="G120" s="8" t="s">
        <v>32</v>
      </c>
      <c r="H120" s="8"/>
      <c r="I120" s="8"/>
      <c r="J120" s="7" t="s">
        <v>97</v>
      </c>
    </row>
    <row r="121" spans="1:10" ht="42" x14ac:dyDescent="0.35">
      <c r="A121" s="7" t="s">
        <v>280</v>
      </c>
      <c r="B121" s="7" t="s">
        <v>94</v>
      </c>
      <c r="C121" s="7" t="s">
        <v>70</v>
      </c>
      <c r="D121" s="8" t="s">
        <v>281</v>
      </c>
      <c r="E121" s="8" t="s">
        <v>50</v>
      </c>
      <c r="F121" s="8" t="s">
        <v>51</v>
      </c>
      <c r="G121" s="8" t="s">
        <v>32</v>
      </c>
      <c r="H121" s="8"/>
      <c r="I121" s="8"/>
      <c r="J121" s="7" t="s">
        <v>97</v>
      </c>
    </row>
    <row r="122" spans="1:10" ht="42" x14ac:dyDescent="0.35">
      <c r="A122" s="7" t="s">
        <v>282</v>
      </c>
      <c r="B122" s="7" t="s">
        <v>94</v>
      </c>
      <c r="C122" s="7" t="s">
        <v>70</v>
      </c>
      <c r="D122" s="8" t="s">
        <v>283</v>
      </c>
      <c r="E122" s="8" t="s">
        <v>50</v>
      </c>
      <c r="F122" s="8" t="s">
        <v>51</v>
      </c>
      <c r="G122" s="8" t="s">
        <v>32</v>
      </c>
      <c r="H122" s="8"/>
      <c r="I122" s="8"/>
      <c r="J122" s="7" t="s">
        <v>97</v>
      </c>
    </row>
    <row r="123" spans="1:10" ht="28" x14ac:dyDescent="0.35">
      <c r="A123" s="7" t="s">
        <v>284</v>
      </c>
      <c r="B123" s="7" t="s">
        <v>94</v>
      </c>
      <c r="C123" s="7" t="s">
        <v>70</v>
      </c>
      <c r="D123" s="8" t="s">
        <v>285</v>
      </c>
      <c r="E123" s="8" t="s">
        <v>50</v>
      </c>
      <c r="F123" s="8" t="s">
        <v>51</v>
      </c>
      <c r="G123" s="8" t="s">
        <v>32</v>
      </c>
      <c r="H123" s="8"/>
      <c r="I123" s="8"/>
      <c r="J123" s="7" t="s">
        <v>97</v>
      </c>
    </row>
    <row r="124" spans="1:10" ht="42" x14ac:dyDescent="0.35">
      <c r="A124" s="7" t="s">
        <v>286</v>
      </c>
      <c r="B124" s="7" t="s">
        <v>94</v>
      </c>
      <c r="C124" s="7" t="s">
        <v>70</v>
      </c>
      <c r="D124" s="8" t="s">
        <v>287</v>
      </c>
      <c r="E124" s="8" t="s">
        <v>50</v>
      </c>
      <c r="F124" s="8" t="s">
        <v>51</v>
      </c>
      <c r="G124" s="8" t="s">
        <v>32</v>
      </c>
      <c r="H124" s="8"/>
      <c r="I124" s="8"/>
      <c r="J124" s="7" t="s">
        <v>97</v>
      </c>
    </row>
    <row r="125" spans="1:10" ht="28" x14ac:dyDescent="0.35">
      <c r="A125" s="7" t="s">
        <v>288</v>
      </c>
      <c r="B125" s="7" t="s">
        <v>94</v>
      </c>
      <c r="C125" s="7" t="s">
        <v>70</v>
      </c>
      <c r="D125" s="8" t="s">
        <v>289</v>
      </c>
      <c r="E125" s="8" t="s">
        <v>50</v>
      </c>
      <c r="F125" s="8" t="s">
        <v>51</v>
      </c>
      <c r="G125" s="8" t="s">
        <v>32</v>
      </c>
      <c r="H125" s="8"/>
      <c r="I125" s="8"/>
      <c r="J125" s="7" t="s">
        <v>97</v>
      </c>
    </row>
    <row r="126" spans="1:10" ht="42" x14ac:dyDescent="0.35">
      <c r="A126" s="7" t="s">
        <v>290</v>
      </c>
      <c r="B126" s="7" t="s">
        <v>94</v>
      </c>
      <c r="C126" s="7" t="s">
        <v>70</v>
      </c>
      <c r="D126" s="8" t="s">
        <v>291</v>
      </c>
      <c r="E126" s="8" t="s">
        <v>50</v>
      </c>
      <c r="F126" s="8" t="s">
        <v>51</v>
      </c>
      <c r="G126" s="8" t="s">
        <v>32</v>
      </c>
      <c r="H126" s="8"/>
      <c r="I126" s="8"/>
      <c r="J126" s="7" t="s">
        <v>97</v>
      </c>
    </row>
    <row r="127" spans="1:10" ht="28" x14ac:dyDescent="0.35">
      <c r="A127" s="7" t="s">
        <v>292</v>
      </c>
      <c r="B127" s="7" t="s">
        <v>94</v>
      </c>
      <c r="C127" s="7" t="s">
        <v>70</v>
      </c>
      <c r="D127" s="8" t="s">
        <v>293</v>
      </c>
      <c r="E127" s="8" t="s">
        <v>50</v>
      </c>
      <c r="F127" s="8" t="s">
        <v>51</v>
      </c>
      <c r="G127" s="8" t="s">
        <v>32</v>
      </c>
      <c r="H127" s="8"/>
      <c r="I127" s="8"/>
      <c r="J127" s="7" t="s">
        <v>97</v>
      </c>
    </row>
    <row r="128" spans="1:10" ht="28" x14ac:dyDescent="0.35">
      <c r="A128" s="7" t="s">
        <v>294</v>
      </c>
      <c r="B128" s="7" t="s">
        <v>94</v>
      </c>
      <c r="C128" s="7" t="s">
        <v>70</v>
      </c>
      <c r="D128" s="8" t="s">
        <v>295</v>
      </c>
      <c r="E128" s="8" t="s">
        <v>50</v>
      </c>
      <c r="F128" s="8" t="s">
        <v>51</v>
      </c>
      <c r="G128" s="8" t="s">
        <v>32</v>
      </c>
      <c r="H128" s="8"/>
      <c r="I128" s="8"/>
      <c r="J128" s="7" t="s">
        <v>97</v>
      </c>
    </row>
    <row r="129" spans="1:10" ht="28" x14ac:dyDescent="0.35">
      <c r="A129" s="7" t="s">
        <v>296</v>
      </c>
      <c r="B129" s="7" t="s">
        <v>94</v>
      </c>
      <c r="C129" s="7" t="s">
        <v>70</v>
      </c>
      <c r="D129" s="8" t="s">
        <v>297</v>
      </c>
      <c r="E129" s="8" t="s">
        <v>50</v>
      </c>
      <c r="F129" s="8" t="s">
        <v>51</v>
      </c>
      <c r="G129" s="8" t="s">
        <v>32</v>
      </c>
      <c r="H129" s="8"/>
      <c r="I129" s="8"/>
      <c r="J129" s="7" t="s">
        <v>97</v>
      </c>
    </row>
    <row r="130" spans="1:10" ht="28" x14ac:dyDescent="0.35">
      <c r="A130" s="7" t="s">
        <v>298</v>
      </c>
      <c r="B130" s="7" t="s">
        <v>94</v>
      </c>
      <c r="C130" s="7" t="s">
        <v>72</v>
      </c>
      <c r="D130" s="8" t="s">
        <v>299</v>
      </c>
      <c r="E130" s="8" t="s">
        <v>50</v>
      </c>
      <c r="F130" s="8" t="s">
        <v>51</v>
      </c>
      <c r="G130" s="8" t="s">
        <v>32</v>
      </c>
      <c r="H130" s="8"/>
      <c r="I130" s="8"/>
      <c r="J130" s="7" t="s">
        <v>97</v>
      </c>
    </row>
    <row r="131" spans="1:10" ht="42" x14ac:dyDescent="0.35">
      <c r="A131" s="7" t="s">
        <v>300</v>
      </c>
      <c r="B131" s="7" t="s">
        <v>94</v>
      </c>
      <c r="C131" s="7" t="s">
        <v>72</v>
      </c>
      <c r="D131" s="8" t="s">
        <v>301</v>
      </c>
      <c r="E131" s="8" t="s">
        <v>50</v>
      </c>
      <c r="F131" s="8" t="s">
        <v>51</v>
      </c>
      <c r="G131" s="8" t="s">
        <v>32</v>
      </c>
      <c r="H131" s="8"/>
      <c r="I131" s="8"/>
      <c r="J131" s="7" t="s">
        <v>97</v>
      </c>
    </row>
    <row r="132" spans="1:10" ht="42" x14ac:dyDescent="0.35">
      <c r="A132" s="7" t="s">
        <v>302</v>
      </c>
      <c r="B132" s="7" t="s">
        <v>94</v>
      </c>
      <c r="C132" s="7" t="s">
        <v>72</v>
      </c>
      <c r="D132" s="8" t="s">
        <v>303</v>
      </c>
      <c r="E132" s="8" t="s">
        <v>50</v>
      </c>
      <c r="F132" s="8" t="s">
        <v>51</v>
      </c>
      <c r="G132" s="8" t="s">
        <v>32</v>
      </c>
      <c r="H132" s="8"/>
      <c r="I132" s="8"/>
      <c r="J132" s="7" t="s">
        <v>97</v>
      </c>
    </row>
    <row r="133" spans="1:10" ht="42" x14ac:dyDescent="0.35">
      <c r="A133" s="7" t="s">
        <v>304</v>
      </c>
      <c r="B133" s="7" t="s">
        <v>94</v>
      </c>
      <c r="C133" s="7" t="s">
        <v>72</v>
      </c>
      <c r="D133" s="8" t="s">
        <v>305</v>
      </c>
      <c r="E133" s="8" t="s">
        <v>50</v>
      </c>
      <c r="F133" s="8" t="s">
        <v>51</v>
      </c>
      <c r="G133" s="8" t="s">
        <v>32</v>
      </c>
      <c r="H133" s="8"/>
      <c r="I133" s="8"/>
      <c r="J133" s="7" t="s">
        <v>97</v>
      </c>
    </row>
    <row r="134" spans="1:10" ht="28" x14ac:dyDescent="0.35">
      <c r="A134" s="7" t="s">
        <v>306</v>
      </c>
      <c r="B134" s="7" t="s">
        <v>94</v>
      </c>
      <c r="C134" s="7" t="s">
        <v>72</v>
      </c>
      <c r="D134" s="8" t="s">
        <v>307</v>
      </c>
      <c r="E134" s="8" t="s">
        <v>50</v>
      </c>
      <c r="F134" s="8" t="s">
        <v>51</v>
      </c>
      <c r="G134" s="8" t="s">
        <v>32</v>
      </c>
      <c r="H134" s="8"/>
      <c r="I134" s="8"/>
      <c r="J134" s="7" t="s">
        <v>97</v>
      </c>
    </row>
    <row r="135" spans="1:10" ht="42" x14ac:dyDescent="0.35">
      <c r="A135" s="7" t="s">
        <v>308</v>
      </c>
      <c r="B135" s="7" t="s">
        <v>94</v>
      </c>
      <c r="C135" s="7" t="s">
        <v>72</v>
      </c>
      <c r="D135" s="8" t="s">
        <v>309</v>
      </c>
      <c r="E135" s="8" t="s">
        <v>50</v>
      </c>
      <c r="F135" s="8" t="s">
        <v>51</v>
      </c>
      <c r="G135" s="8" t="s">
        <v>32</v>
      </c>
      <c r="H135" s="8"/>
      <c r="I135" s="8"/>
      <c r="J135" s="7" t="s">
        <v>97</v>
      </c>
    </row>
    <row r="136" spans="1:10" ht="42" x14ac:dyDescent="0.35">
      <c r="A136" s="7" t="s">
        <v>310</v>
      </c>
      <c r="B136" s="7" t="s">
        <v>94</v>
      </c>
      <c r="C136" s="7" t="s">
        <v>72</v>
      </c>
      <c r="D136" s="8" t="s">
        <v>311</v>
      </c>
      <c r="E136" s="8" t="s">
        <v>50</v>
      </c>
      <c r="F136" s="8" t="s">
        <v>51</v>
      </c>
      <c r="G136" s="8" t="s">
        <v>32</v>
      </c>
      <c r="H136" s="8"/>
      <c r="I136" s="8"/>
      <c r="J136" s="7" t="s">
        <v>97</v>
      </c>
    </row>
    <row r="137" spans="1:10" ht="42" x14ac:dyDescent="0.35">
      <c r="A137" s="7" t="s">
        <v>312</v>
      </c>
      <c r="B137" s="7" t="s">
        <v>94</v>
      </c>
      <c r="C137" s="7" t="s">
        <v>72</v>
      </c>
      <c r="D137" s="8" t="s">
        <v>313</v>
      </c>
      <c r="E137" s="8" t="s">
        <v>50</v>
      </c>
      <c r="F137" s="8" t="s">
        <v>51</v>
      </c>
      <c r="G137" s="8" t="s">
        <v>32</v>
      </c>
      <c r="H137" s="8"/>
      <c r="I137" s="8"/>
      <c r="J137" s="7" t="s">
        <v>97</v>
      </c>
    </row>
    <row r="138" spans="1:10" ht="28" x14ac:dyDescent="0.35">
      <c r="A138" s="7" t="s">
        <v>314</v>
      </c>
      <c r="B138" s="7" t="s">
        <v>94</v>
      </c>
      <c r="C138" s="7" t="s">
        <v>72</v>
      </c>
      <c r="D138" s="8" t="s">
        <v>315</v>
      </c>
      <c r="E138" s="8" t="s">
        <v>50</v>
      </c>
      <c r="F138" s="8" t="s">
        <v>51</v>
      </c>
      <c r="G138" s="8" t="s">
        <v>32</v>
      </c>
      <c r="H138" s="8"/>
      <c r="I138" s="8"/>
      <c r="J138" s="7" t="s">
        <v>97</v>
      </c>
    </row>
    <row r="139" spans="1:10" ht="28" x14ac:dyDescent="0.35">
      <c r="A139" s="7" t="s">
        <v>316</v>
      </c>
      <c r="B139" s="7" t="s">
        <v>94</v>
      </c>
      <c r="C139" s="7" t="s">
        <v>72</v>
      </c>
      <c r="D139" s="8" t="s">
        <v>317</v>
      </c>
      <c r="E139" s="8" t="s">
        <v>50</v>
      </c>
      <c r="F139" s="8" t="s">
        <v>51</v>
      </c>
      <c r="G139" s="8" t="s">
        <v>32</v>
      </c>
      <c r="H139" s="8"/>
      <c r="I139" s="8"/>
      <c r="J139" s="7" t="s">
        <v>97</v>
      </c>
    </row>
    <row r="140" spans="1:10" ht="28" x14ac:dyDescent="0.35">
      <c r="A140" s="7" t="s">
        <v>318</v>
      </c>
      <c r="B140" s="7" t="s">
        <v>94</v>
      </c>
      <c r="C140" s="7" t="s">
        <v>72</v>
      </c>
      <c r="D140" s="8" t="s">
        <v>319</v>
      </c>
      <c r="E140" s="8" t="s">
        <v>50</v>
      </c>
      <c r="F140" s="8" t="s">
        <v>51</v>
      </c>
      <c r="G140" s="8" t="s">
        <v>32</v>
      </c>
      <c r="H140" s="8"/>
      <c r="I140" s="8"/>
      <c r="J140" s="7" t="s">
        <v>97</v>
      </c>
    </row>
    <row r="141" spans="1:10" ht="28" x14ac:dyDescent="0.35">
      <c r="A141" s="7" t="s">
        <v>320</v>
      </c>
      <c r="B141" s="7" t="s">
        <v>94</v>
      </c>
      <c r="C141" s="7" t="s">
        <v>72</v>
      </c>
      <c r="D141" s="8" t="s">
        <v>321</v>
      </c>
      <c r="E141" s="8" t="s">
        <v>50</v>
      </c>
      <c r="F141" s="8" t="s">
        <v>51</v>
      </c>
      <c r="G141" s="8" t="s">
        <v>32</v>
      </c>
      <c r="H141" s="8"/>
      <c r="I141" s="8"/>
      <c r="J141" s="7" t="s">
        <v>97</v>
      </c>
    </row>
    <row r="142" spans="1:10" ht="28" x14ac:dyDescent="0.35">
      <c r="A142" s="7" t="s">
        <v>322</v>
      </c>
      <c r="B142" s="7" t="s">
        <v>94</v>
      </c>
      <c r="C142" s="7" t="s">
        <v>72</v>
      </c>
      <c r="D142" s="8" t="s">
        <v>323</v>
      </c>
      <c r="E142" s="8" t="s">
        <v>50</v>
      </c>
      <c r="F142" s="8" t="s">
        <v>51</v>
      </c>
      <c r="G142" s="8" t="s">
        <v>32</v>
      </c>
      <c r="H142" s="8"/>
      <c r="I142" s="8"/>
      <c r="J142" s="7" t="s">
        <v>97</v>
      </c>
    </row>
    <row r="143" spans="1:10" ht="56" x14ac:dyDescent="0.35">
      <c r="A143" s="7" t="s">
        <v>324</v>
      </c>
      <c r="B143" s="7" t="s">
        <v>94</v>
      </c>
      <c r="C143" s="7" t="s">
        <v>74</v>
      </c>
      <c r="D143" s="8" t="s">
        <v>325</v>
      </c>
      <c r="E143" s="8" t="s">
        <v>50</v>
      </c>
      <c r="F143" s="8" t="s">
        <v>51</v>
      </c>
      <c r="G143" s="8" t="s">
        <v>32</v>
      </c>
      <c r="H143" s="8"/>
      <c r="I143" s="8"/>
      <c r="J143" s="7" t="s">
        <v>97</v>
      </c>
    </row>
    <row r="144" spans="1:10" ht="28" x14ac:dyDescent="0.35">
      <c r="A144" s="7" t="s">
        <v>326</v>
      </c>
      <c r="B144" s="7" t="s">
        <v>94</v>
      </c>
      <c r="C144" s="7" t="s">
        <v>74</v>
      </c>
      <c r="D144" s="8" t="s">
        <v>327</v>
      </c>
      <c r="E144" s="8" t="s">
        <v>50</v>
      </c>
      <c r="F144" s="8" t="s">
        <v>51</v>
      </c>
      <c r="G144" s="8" t="s">
        <v>32</v>
      </c>
      <c r="H144" s="8"/>
      <c r="I144" s="8"/>
      <c r="J144" s="7" t="s">
        <v>97</v>
      </c>
    </row>
    <row r="145" spans="1:10" ht="28" x14ac:dyDescent="0.35">
      <c r="A145" s="7" t="s">
        <v>328</v>
      </c>
      <c r="B145" s="7" t="s">
        <v>94</v>
      </c>
      <c r="C145" s="7" t="s">
        <v>74</v>
      </c>
      <c r="D145" s="8" t="s">
        <v>329</v>
      </c>
      <c r="E145" s="8" t="s">
        <v>50</v>
      </c>
      <c r="F145" s="8" t="s">
        <v>51</v>
      </c>
      <c r="G145" s="8" t="s">
        <v>32</v>
      </c>
      <c r="H145" s="8"/>
      <c r="I145" s="8"/>
      <c r="J145" s="7" t="s">
        <v>97</v>
      </c>
    </row>
    <row r="146" spans="1:10" ht="42" x14ac:dyDescent="0.35">
      <c r="A146" s="7" t="s">
        <v>330</v>
      </c>
      <c r="B146" s="7" t="s">
        <v>94</v>
      </c>
      <c r="C146" s="7" t="s">
        <v>74</v>
      </c>
      <c r="D146" s="8" t="s">
        <v>331</v>
      </c>
      <c r="E146" s="8" t="s">
        <v>50</v>
      </c>
      <c r="F146" s="8" t="s">
        <v>51</v>
      </c>
      <c r="G146" s="8" t="s">
        <v>32</v>
      </c>
      <c r="H146" s="8"/>
      <c r="I146" s="8"/>
      <c r="J146" s="7" t="s">
        <v>97</v>
      </c>
    </row>
    <row r="147" spans="1:10" ht="56" x14ac:dyDescent="0.35">
      <c r="A147" s="7" t="s">
        <v>332</v>
      </c>
      <c r="B147" s="7" t="s">
        <v>94</v>
      </c>
      <c r="C147" s="7" t="s">
        <v>74</v>
      </c>
      <c r="D147" s="8" t="s">
        <v>333</v>
      </c>
      <c r="E147" s="8" t="s">
        <v>50</v>
      </c>
      <c r="F147" s="8" t="s">
        <v>51</v>
      </c>
      <c r="G147" s="8" t="s">
        <v>32</v>
      </c>
      <c r="H147" s="8"/>
      <c r="I147" s="8"/>
      <c r="J147" s="7" t="s">
        <v>97</v>
      </c>
    </row>
    <row r="148" spans="1:10" ht="42" x14ac:dyDescent="0.35">
      <c r="A148" s="7" t="s">
        <v>334</v>
      </c>
      <c r="B148" s="7" t="s">
        <v>94</v>
      </c>
      <c r="C148" s="7" t="s">
        <v>74</v>
      </c>
      <c r="D148" s="8" t="s">
        <v>335</v>
      </c>
      <c r="E148" s="8" t="s">
        <v>50</v>
      </c>
      <c r="F148" s="8" t="s">
        <v>51</v>
      </c>
      <c r="G148" s="8" t="s">
        <v>32</v>
      </c>
      <c r="H148" s="8"/>
      <c r="I148" s="8"/>
      <c r="J148" s="7" t="s">
        <v>97</v>
      </c>
    </row>
    <row r="149" spans="1:10" ht="42" x14ac:dyDescent="0.35">
      <c r="A149" s="7" t="s">
        <v>336</v>
      </c>
      <c r="B149" s="7" t="s">
        <v>94</v>
      </c>
      <c r="C149" s="7" t="s">
        <v>74</v>
      </c>
      <c r="D149" s="8" t="s">
        <v>337</v>
      </c>
      <c r="E149" s="8" t="s">
        <v>50</v>
      </c>
      <c r="F149" s="8" t="s">
        <v>51</v>
      </c>
      <c r="G149" s="8" t="s">
        <v>32</v>
      </c>
      <c r="H149" s="8"/>
      <c r="I149" s="8"/>
      <c r="J149" s="7" t="s">
        <v>97</v>
      </c>
    </row>
    <row r="150" spans="1:10" ht="28" x14ac:dyDescent="0.35">
      <c r="A150" s="7" t="s">
        <v>338</v>
      </c>
      <c r="B150" s="7" t="s">
        <v>94</v>
      </c>
      <c r="C150" s="7" t="s">
        <v>74</v>
      </c>
      <c r="D150" s="8" t="s">
        <v>339</v>
      </c>
      <c r="E150" s="8" t="s">
        <v>50</v>
      </c>
      <c r="F150" s="8" t="s">
        <v>51</v>
      </c>
      <c r="G150" s="8" t="s">
        <v>32</v>
      </c>
      <c r="H150" s="8"/>
      <c r="I150" s="8"/>
      <c r="J150" s="7" t="s">
        <v>97</v>
      </c>
    </row>
    <row r="151" spans="1:10" ht="28" x14ac:dyDescent="0.35">
      <c r="A151" s="7" t="s">
        <v>340</v>
      </c>
      <c r="B151" s="7" t="s">
        <v>94</v>
      </c>
      <c r="C151" s="7" t="s">
        <v>74</v>
      </c>
      <c r="D151" s="8" t="s">
        <v>341</v>
      </c>
      <c r="E151" s="8" t="s">
        <v>50</v>
      </c>
      <c r="F151" s="8" t="s">
        <v>51</v>
      </c>
      <c r="G151" s="8" t="s">
        <v>32</v>
      </c>
      <c r="H151" s="8"/>
      <c r="I151" s="8"/>
      <c r="J151" s="7" t="s">
        <v>97</v>
      </c>
    </row>
    <row r="152" spans="1:10" ht="28" x14ac:dyDescent="0.35">
      <c r="A152" s="7" t="s">
        <v>342</v>
      </c>
      <c r="B152" s="7" t="s">
        <v>343</v>
      </c>
      <c r="C152" s="7" t="s">
        <v>55</v>
      </c>
      <c r="D152" s="8" t="s">
        <v>344</v>
      </c>
      <c r="E152" s="8" t="s">
        <v>54</v>
      </c>
      <c r="F152" s="8" t="s">
        <v>51</v>
      </c>
      <c r="G152" s="8" t="s">
        <v>32</v>
      </c>
      <c r="H152" s="8"/>
      <c r="I152" s="8"/>
      <c r="J152" s="7" t="s">
        <v>97</v>
      </c>
    </row>
    <row r="153" spans="1:10" ht="28" x14ac:dyDescent="0.35">
      <c r="A153" s="7" t="s">
        <v>345</v>
      </c>
      <c r="B153" s="7" t="s">
        <v>343</v>
      </c>
      <c r="C153" s="7" t="s">
        <v>55</v>
      </c>
      <c r="D153" s="8" t="s">
        <v>346</v>
      </c>
      <c r="E153" s="8" t="s">
        <v>54</v>
      </c>
      <c r="F153" s="8" t="s">
        <v>51</v>
      </c>
      <c r="G153" s="8" t="s">
        <v>32</v>
      </c>
      <c r="H153" s="8"/>
      <c r="I153" s="8"/>
      <c r="J153" s="7" t="s">
        <v>97</v>
      </c>
    </row>
    <row r="154" spans="1:10" ht="28" x14ac:dyDescent="0.35">
      <c r="A154" s="7" t="s">
        <v>347</v>
      </c>
      <c r="B154" s="7" t="s">
        <v>343</v>
      </c>
      <c r="C154" s="7" t="s">
        <v>55</v>
      </c>
      <c r="D154" s="8" t="s">
        <v>348</v>
      </c>
      <c r="E154" s="8" t="s">
        <v>54</v>
      </c>
      <c r="F154" s="8" t="s">
        <v>51</v>
      </c>
      <c r="G154" s="8" t="s">
        <v>32</v>
      </c>
      <c r="H154" s="8"/>
      <c r="I154" s="8"/>
      <c r="J154" s="7" t="s">
        <v>97</v>
      </c>
    </row>
    <row r="155" spans="1:10" ht="28" x14ac:dyDescent="0.35">
      <c r="A155" s="7" t="s">
        <v>349</v>
      </c>
      <c r="B155" s="7" t="s">
        <v>343</v>
      </c>
      <c r="C155" s="7" t="s">
        <v>55</v>
      </c>
      <c r="D155" s="8" t="s">
        <v>350</v>
      </c>
      <c r="E155" s="8" t="s">
        <v>54</v>
      </c>
      <c r="F155" s="8" t="s">
        <v>51</v>
      </c>
      <c r="G155" s="8" t="s">
        <v>32</v>
      </c>
      <c r="H155" s="8"/>
      <c r="I155" s="8"/>
      <c r="J155" s="7" t="s">
        <v>97</v>
      </c>
    </row>
    <row r="156" spans="1:10" ht="28" x14ac:dyDescent="0.35">
      <c r="A156" s="7" t="s">
        <v>351</v>
      </c>
      <c r="B156" s="7" t="s">
        <v>343</v>
      </c>
      <c r="C156" s="7" t="s">
        <v>55</v>
      </c>
      <c r="D156" s="8" t="s">
        <v>352</v>
      </c>
      <c r="E156" s="8" t="s">
        <v>54</v>
      </c>
      <c r="F156" s="8" t="s">
        <v>51</v>
      </c>
      <c r="G156" s="8" t="s">
        <v>32</v>
      </c>
      <c r="H156" s="8"/>
      <c r="I156" s="8"/>
      <c r="J156" s="7" t="s">
        <v>97</v>
      </c>
    </row>
    <row r="157" spans="1:10" ht="28" x14ac:dyDescent="0.35">
      <c r="A157" s="7" t="s">
        <v>353</v>
      </c>
      <c r="B157" s="7" t="s">
        <v>343</v>
      </c>
      <c r="C157" s="7" t="s">
        <v>55</v>
      </c>
      <c r="D157" s="8" t="s">
        <v>354</v>
      </c>
      <c r="E157" s="8" t="s">
        <v>54</v>
      </c>
      <c r="F157" s="8" t="s">
        <v>51</v>
      </c>
      <c r="G157" s="8" t="s">
        <v>32</v>
      </c>
      <c r="H157" s="8"/>
      <c r="I157" s="8"/>
      <c r="J157" s="7" t="s">
        <v>97</v>
      </c>
    </row>
    <row r="158" spans="1:10" ht="28" x14ac:dyDescent="0.35">
      <c r="A158" s="7" t="s">
        <v>355</v>
      </c>
      <c r="B158" s="7" t="s">
        <v>343</v>
      </c>
      <c r="C158" s="7" t="s">
        <v>57</v>
      </c>
      <c r="D158" s="8" t="s">
        <v>356</v>
      </c>
      <c r="E158" s="8" t="s">
        <v>54</v>
      </c>
      <c r="F158" s="8" t="s">
        <v>51</v>
      </c>
      <c r="G158" s="8" t="s">
        <v>32</v>
      </c>
      <c r="H158" s="8"/>
      <c r="I158" s="8"/>
      <c r="J158" s="7" t="s">
        <v>97</v>
      </c>
    </row>
    <row r="159" spans="1:10" ht="28" x14ac:dyDescent="0.35">
      <c r="A159" s="7" t="s">
        <v>357</v>
      </c>
      <c r="B159" s="7" t="s">
        <v>343</v>
      </c>
      <c r="C159" s="7" t="s">
        <v>57</v>
      </c>
      <c r="D159" s="8" t="s">
        <v>358</v>
      </c>
      <c r="E159" s="8" t="s">
        <v>54</v>
      </c>
      <c r="F159" s="8" t="s">
        <v>51</v>
      </c>
      <c r="G159" s="8" t="s">
        <v>32</v>
      </c>
      <c r="H159" s="8"/>
      <c r="I159" s="8"/>
      <c r="J159" s="7" t="s">
        <v>97</v>
      </c>
    </row>
    <row r="160" spans="1:10" ht="28" x14ac:dyDescent="0.35">
      <c r="A160" s="7" t="s">
        <v>359</v>
      </c>
      <c r="B160" s="7" t="s">
        <v>343</v>
      </c>
      <c r="C160" s="7" t="s">
        <v>57</v>
      </c>
      <c r="D160" s="8" t="s">
        <v>360</v>
      </c>
      <c r="E160" s="8" t="s">
        <v>54</v>
      </c>
      <c r="F160" s="8" t="s">
        <v>51</v>
      </c>
      <c r="G160" s="8" t="s">
        <v>32</v>
      </c>
      <c r="H160" s="8"/>
      <c r="I160" s="8"/>
      <c r="J160" s="7" t="s">
        <v>97</v>
      </c>
    </row>
    <row r="161" spans="1:10" ht="28" x14ac:dyDescent="0.35">
      <c r="A161" s="7" t="s">
        <v>361</v>
      </c>
      <c r="B161" s="7" t="s">
        <v>343</v>
      </c>
      <c r="C161" s="7" t="s">
        <v>57</v>
      </c>
      <c r="D161" s="8" t="s">
        <v>362</v>
      </c>
      <c r="E161" s="8" t="s">
        <v>54</v>
      </c>
      <c r="F161" s="8" t="s">
        <v>51</v>
      </c>
      <c r="G161" s="8" t="s">
        <v>32</v>
      </c>
      <c r="H161" s="8"/>
      <c r="I161" s="8"/>
      <c r="J161" s="7" t="s">
        <v>97</v>
      </c>
    </row>
    <row r="162" spans="1:10" ht="28" x14ac:dyDescent="0.35">
      <c r="A162" s="7" t="s">
        <v>363</v>
      </c>
      <c r="B162" s="7" t="s">
        <v>343</v>
      </c>
      <c r="C162" s="7" t="s">
        <v>57</v>
      </c>
      <c r="D162" s="8" t="s">
        <v>364</v>
      </c>
      <c r="E162" s="8" t="s">
        <v>54</v>
      </c>
      <c r="F162" s="8" t="s">
        <v>51</v>
      </c>
      <c r="G162" s="8" t="s">
        <v>32</v>
      </c>
      <c r="H162" s="8"/>
      <c r="I162" s="8"/>
      <c r="J162" s="7" t="s">
        <v>97</v>
      </c>
    </row>
    <row r="163" spans="1:10" ht="28" x14ac:dyDescent="0.35">
      <c r="A163" s="7" t="s">
        <v>365</v>
      </c>
      <c r="B163" s="7" t="s">
        <v>343</v>
      </c>
      <c r="C163" s="7" t="s">
        <v>68</v>
      </c>
      <c r="D163" s="8" t="s">
        <v>366</v>
      </c>
      <c r="E163" s="8" t="s">
        <v>50</v>
      </c>
      <c r="F163" s="8" t="s">
        <v>51</v>
      </c>
      <c r="G163" s="8" t="s">
        <v>32</v>
      </c>
      <c r="H163" s="8"/>
      <c r="I163" s="8"/>
      <c r="J163" s="7" t="s">
        <v>97</v>
      </c>
    </row>
    <row r="164" spans="1:10" ht="42" x14ac:dyDescent="0.35">
      <c r="A164" s="7" t="s">
        <v>367</v>
      </c>
      <c r="B164" s="7" t="s">
        <v>343</v>
      </c>
      <c r="C164" s="7" t="s">
        <v>68</v>
      </c>
      <c r="D164" s="8" t="s">
        <v>368</v>
      </c>
      <c r="E164" s="8" t="s">
        <v>50</v>
      </c>
      <c r="F164" s="8" t="s">
        <v>51</v>
      </c>
      <c r="G164" s="8" t="s">
        <v>32</v>
      </c>
      <c r="H164" s="8"/>
      <c r="I164" s="8"/>
      <c r="J164" s="7" t="s">
        <v>97</v>
      </c>
    </row>
    <row r="165" spans="1:10" ht="28" x14ac:dyDescent="0.35">
      <c r="A165" s="7" t="s">
        <v>369</v>
      </c>
      <c r="B165" s="7" t="s">
        <v>343</v>
      </c>
      <c r="C165" s="7" t="s">
        <v>68</v>
      </c>
      <c r="D165" s="8" t="s">
        <v>370</v>
      </c>
      <c r="E165" s="8" t="s">
        <v>50</v>
      </c>
      <c r="F165" s="8" t="s">
        <v>51</v>
      </c>
      <c r="G165" s="8" t="s">
        <v>32</v>
      </c>
      <c r="H165" s="8"/>
      <c r="I165" s="8"/>
      <c r="J165" s="7" t="s">
        <v>97</v>
      </c>
    </row>
    <row r="166" spans="1:10" ht="28" x14ac:dyDescent="0.35">
      <c r="A166" s="7" t="s">
        <v>371</v>
      </c>
      <c r="B166" s="7" t="s">
        <v>343</v>
      </c>
      <c r="C166" s="7" t="s">
        <v>68</v>
      </c>
      <c r="D166" s="8" t="s">
        <v>372</v>
      </c>
      <c r="E166" s="8" t="s">
        <v>50</v>
      </c>
      <c r="F166" s="8" t="s">
        <v>51</v>
      </c>
      <c r="G166" s="8" t="s">
        <v>32</v>
      </c>
      <c r="H166" s="8"/>
      <c r="I166" s="8"/>
      <c r="J166" s="7" t="s">
        <v>97</v>
      </c>
    </row>
    <row r="167" spans="1:10" ht="42" x14ac:dyDescent="0.35">
      <c r="A167" s="7" t="s">
        <v>373</v>
      </c>
      <c r="B167" s="7" t="s">
        <v>343</v>
      </c>
      <c r="C167" s="7" t="s">
        <v>68</v>
      </c>
      <c r="D167" s="8" t="s">
        <v>374</v>
      </c>
      <c r="E167" s="8" t="s">
        <v>50</v>
      </c>
      <c r="F167" s="8" t="s">
        <v>51</v>
      </c>
      <c r="G167" s="8" t="s">
        <v>32</v>
      </c>
      <c r="H167" s="8"/>
      <c r="I167" s="8"/>
      <c r="J167" s="7" t="s">
        <v>97</v>
      </c>
    </row>
    <row r="168" spans="1:10" ht="28" x14ac:dyDescent="0.35">
      <c r="A168" s="7" t="s">
        <v>375</v>
      </c>
      <c r="B168" s="7" t="s">
        <v>343</v>
      </c>
      <c r="C168" s="7" t="s">
        <v>47</v>
      </c>
      <c r="D168" s="8" t="s">
        <v>376</v>
      </c>
      <c r="E168" s="8" t="s">
        <v>50</v>
      </c>
      <c r="F168" s="8" t="s">
        <v>51</v>
      </c>
      <c r="G168" s="8" t="s">
        <v>32</v>
      </c>
      <c r="H168" s="8"/>
      <c r="I168" s="8"/>
      <c r="J168" s="7" t="s">
        <v>97</v>
      </c>
    </row>
    <row r="169" spans="1:10" ht="42" x14ac:dyDescent="0.35">
      <c r="A169" s="7" t="s">
        <v>377</v>
      </c>
      <c r="B169" s="7" t="s">
        <v>343</v>
      </c>
      <c r="C169" s="7" t="s">
        <v>47</v>
      </c>
      <c r="D169" s="8" t="s">
        <v>378</v>
      </c>
      <c r="E169" s="8" t="s">
        <v>50</v>
      </c>
      <c r="F169" s="8" t="s">
        <v>51</v>
      </c>
      <c r="G169" s="8" t="s">
        <v>32</v>
      </c>
      <c r="H169" s="8"/>
      <c r="I169" s="8"/>
      <c r="J169" s="7" t="s">
        <v>97</v>
      </c>
    </row>
    <row r="170" spans="1:10" ht="28" x14ac:dyDescent="0.35">
      <c r="A170" s="7" t="s">
        <v>379</v>
      </c>
      <c r="B170" s="7" t="s">
        <v>343</v>
      </c>
      <c r="C170" s="7" t="s">
        <v>47</v>
      </c>
      <c r="D170" s="8" t="s">
        <v>380</v>
      </c>
      <c r="E170" s="8" t="s">
        <v>50</v>
      </c>
      <c r="F170" s="8" t="s">
        <v>51</v>
      </c>
      <c r="G170" s="8" t="s">
        <v>32</v>
      </c>
      <c r="H170" s="8"/>
      <c r="I170" s="8"/>
      <c r="J170" s="7" t="s">
        <v>97</v>
      </c>
    </row>
    <row r="171" spans="1:10" ht="28" x14ac:dyDescent="0.35">
      <c r="A171" s="7" t="s">
        <v>381</v>
      </c>
      <c r="B171" s="7" t="s">
        <v>343</v>
      </c>
      <c r="C171" s="7" t="s">
        <v>70</v>
      </c>
      <c r="D171" s="8" t="s">
        <v>382</v>
      </c>
      <c r="E171" s="8" t="s">
        <v>50</v>
      </c>
      <c r="F171" s="8" t="s">
        <v>51</v>
      </c>
      <c r="G171" s="8" t="s">
        <v>32</v>
      </c>
      <c r="H171" s="8"/>
      <c r="I171" s="8"/>
      <c r="J171" s="7" t="s">
        <v>97</v>
      </c>
    </row>
    <row r="172" spans="1:10" ht="28" x14ac:dyDescent="0.35">
      <c r="A172" s="7" t="s">
        <v>383</v>
      </c>
      <c r="B172" s="7" t="s">
        <v>343</v>
      </c>
      <c r="C172" s="7" t="s">
        <v>70</v>
      </c>
      <c r="D172" s="8" t="s">
        <v>384</v>
      </c>
      <c r="E172" s="8" t="s">
        <v>50</v>
      </c>
      <c r="F172" s="8" t="s">
        <v>51</v>
      </c>
      <c r="G172" s="8" t="s">
        <v>32</v>
      </c>
      <c r="H172" s="8"/>
      <c r="I172" s="8"/>
      <c r="J172" s="7" t="s">
        <v>97</v>
      </c>
    </row>
    <row r="173" spans="1:10" ht="28" x14ac:dyDescent="0.35">
      <c r="A173" s="7" t="s">
        <v>385</v>
      </c>
      <c r="B173" s="7" t="s">
        <v>343</v>
      </c>
      <c r="C173" s="7" t="s">
        <v>72</v>
      </c>
      <c r="D173" s="8" t="s">
        <v>386</v>
      </c>
      <c r="E173" s="8" t="s">
        <v>50</v>
      </c>
      <c r="F173" s="8" t="s">
        <v>51</v>
      </c>
      <c r="G173" s="8" t="s">
        <v>32</v>
      </c>
      <c r="H173" s="8"/>
      <c r="I173" s="8"/>
      <c r="J173" s="7" t="s">
        <v>97</v>
      </c>
    </row>
    <row r="174" spans="1:10" ht="42" x14ac:dyDescent="0.35">
      <c r="A174" s="7" t="s">
        <v>387</v>
      </c>
      <c r="B174" s="7" t="s">
        <v>343</v>
      </c>
      <c r="C174" s="7" t="s">
        <v>72</v>
      </c>
      <c r="D174" s="8" t="s">
        <v>388</v>
      </c>
      <c r="E174" s="8" t="s">
        <v>50</v>
      </c>
      <c r="F174" s="8" t="s">
        <v>51</v>
      </c>
      <c r="G174" s="8" t="s">
        <v>32</v>
      </c>
      <c r="H174" s="8"/>
      <c r="I174" s="8"/>
      <c r="J174" s="7" t="s">
        <v>97</v>
      </c>
    </row>
    <row r="175" spans="1:10" ht="42" x14ac:dyDescent="0.35">
      <c r="A175" s="7" t="s">
        <v>389</v>
      </c>
      <c r="B175" s="7" t="s">
        <v>343</v>
      </c>
      <c r="C175" s="7" t="s">
        <v>72</v>
      </c>
      <c r="D175" s="8" t="s">
        <v>390</v>
      </c>
      <c r="E175" s="8" t="s">
        <v>50</v>
      </c>
      <c r="F175" s="8" t="s">
        <v>51</v>
      </c>
      <c r="G175" s="8" t="s">
        <v>32</v>
      </c>
      <c r="H175" s="8"/>
      <c r="I175" s="8"/>
      <c r="J175" s="7" t="s">
        <v>97</v>
      </c>
    </row>
    <row r="176" spans="1:10" ht="42" x14ac:dyDescent="0.35">
      <c r="A176" s="7" t="s">
        <v>391</v>
      </c>
      <c r="B176" s="7" t="s">
        <v>343</v>
      </c>
      <c r="C176" s="7" t="s">
        <v>72</v>
      </c>
      <c r="D176" s="8" t="s">
        <v>392</v>
      </c>
      <c r="E176" s="8" t="s">
        <v>50</v>
      </c>
      <c r="F176" s="8" t="s">
        <v>51</v>
      </c>
      <c r="G176" s="8" t="s">
        <v>32</v>
      </c>
      <c r="H176" s="8"/>
      <c r="I176" s="8"/>
      <c r="J176" s="7" t="s">
        <v>97</v>
      </c>
    </row>
    <row r="177" spans="1:10" ht="28" x14ac:dyDescent="0.35">
      <c r="A177" s="7" t="s">
        <v>393</v>
      </c>
      <c r="B177" s="7" t="s">
        <v>343</v>
      </c>
      <c r="C177" s="7" t="s">
        <v>72</v>
      </c>
      <c r="D177" s="8" t="s">
        <v>394</v>
      </c>
      <c r="E177" s="8" t="s">
        <v>50</v>
      </c>
      <c r="F177" s="8" t="s">
        <v>51</v>
      </c>
      <c r="G177" s="8" t="s">
        <v>32</v>
      </c>
      <c r="H177" s="8"/>
      <c r="I177" s="8"/>
      <c r="J177" s="7" t="s">
        <v>97</v>
      </c>
    </row>
    <row r="178" spans="1:10" ht="42" x14ac:dyDescent="0.35">
      <c r="A178" s="7" t="s">
        <v>395</v>
      </c>
      <c r="B178" s="7" t="s">
        <v>343</v>
      </c>
      <c r="C178" s="7" t="s">
        <v>74</v>
      </c>
      <c r="D178" s="8" t="s">
        <v>396</v>
      </c>
      <c r="E178" s="8" t="s">
        <v>50</v>
      </c>
      <c r="F178" s="8" t="s">
        <v>51</v>
      </c>
      <c r="G178" s="8" t="s">
        <v>32</v>
      </c>
      <c r="H178" s="8"/>
      <c r="I178" s="8"/>
      <c r="J178" s="7" t="s">
        <v>97</v>
      </c>
    </row>
    <row r="179" spans="1:10" ht="28" x14ac:dyDescent="0.35">
      <c r="A179" s="7" t="s">
        <v>397</v>
      </c>
      <c r="B179" s="7" t="s">
        <v>343</v>
      </c>
      <c r="C179" s="7" t="s">
        <v>74</v>
      </c>
      <c r="D179" s="8" t="s">
        <v>398</v>
      </c>
      <c r="E179" s="8" t="s">
        <v>50</v>
      </c>
      <c r="F179" s="8" t="s">
        <v>51</v>
      </c>
      <c r="G179" s="8" t="s">
        <v>32</v>
      </c>
      <c r="H179" s="8"/>
      <c r="I179" s="8"/>
      <c r="J179" s="7" t="s">
        <v>97</v>
      </c>
    </row>
    <row r="180" spans="1:10" ht="28" x14ac:dyDescent="0.35">
      <c r="A180" s="7" t="s">
        <v>399</v>
      </c>
      <c r="B180" s="7" t="s">
        <v>343</v>
      </c>
      <c r="C180" s="7" t="s">
        <v>74</v>
      </c>
      <c r="D180" s="8" t="s">
        <v>400</v>
      </c>
      <c r="E180" s="8" t="s">
        <v>50</v>
      </c>
      <c r="F180" s="8" t="s">
        <v>51</v>
      </c>
      <c r="G180" s="8" t="s">
        <v>32</v>
      </c>
      <c r="H180" s="8"/>
      <c r="I180" s="8"/>
      <c r="J180" s="7" t="s">
        <v>97</v>
      </c>
    </row>
    <row r="181" spans="1:10" ht="28" x14ac:dyDescent="0.35">
      <c r="A181" s="7" t="s">
        <v>401</v>
      </c>
      <c r="B181" s="7" t="s">
        <v>343</v>
      </c>
      <c r="C181" s="7" t="s">
        <v>74</v>
      </c>
      <c r="D181" s="8" t="s">
        <v>402</v>
      </c>
      <c r="E181" s="8" t="s">
        <v>50</v>
      </c>
      <c r="F181" s="8" t="s">
        <v>51</v>
      </c>
      <c r="G181" s="8" t="s">
        <v>32</v>
      </c>
      <c r="H181" s="8"/>
      <c r="I181" s="8"/>
      <c r="J181" s="7" t="s">
        <v>97</v>
      </c>
    </row>
    <row r="182" spans="1:10" ht="28" x14ac:dyDescent="0.35">
      <c r="A182" s="7" t="s">
        <v>403</v>
      </c>
      <c r="B182" s="7" t="s">
        <v>404</v>
      </c>
      <c r="C182" s="7" t="s">
        <v>78</v>
      </c>
      <c r="D182" s="8" t="s">
        <v>405</v>
      </c>
      <c r="E182" s="8" t="s">
        <v>54</v>
      </c>
      <c r="F182" s="8" t="s">
        <v>51</v>
      </c>
      <c r="G182" s="8" t="s">
        <v>32</v>
      </c>
      <c r="H182" s="8"/>
      <c r="I182" s="8"/>
      <c r="J182" s="7" t="s">
        <v>406</v>
      </c>
    </row>
    <row r="183" spans="1:10" ht="28" x14ac:dyDescent="0.35">
      <c r="A183" s="7" t="s">
        <v>407</v>
      </c>
      <c r="B183" s="7" t="s">
        <v>404</v>
      </c>
      <c r="C183" s="7" t="s">
        <v>78</v>
      </c>
      <c r="D183" s="8" t="s">
        <v>408</v>
      </c>
      <c r="E183" s="8" t="s">
        <v>54</v>
      </c>
      <c r="F183" s="8" t="s">
        <v>51</v>
      </c>
      <c r="G183" s="8" t="s">
        <v>32</v>
      </c>
      <c r="H183" s="8"/>
      <c r="I183" s="8"/>
      <c r="J183" s="7" t="s">
        <v>406</v>
      </c>
    </row>
    <row r="184" spans="1:10" ht="28" x14ac:dyDescent="0.35">
      <c r="A184" s="7" t="s">
        <v>409</v>
      </c>
      <c r="B184" s="7" t="s">
        <v>404</v>
      </c>
      <c r="C184" s="7" t="s">
        <v>78</v>
      </c>
      <c r="D184" s="8" t="s">
        <v>410</v>
      </c>
      <c r="E184" s="8" t="s">
        <v>54</v>
      </c>
      <c r="F184" s="8" t="s">
        <v>51</v>
      </c>
      <c r="G184" s="8" t="s">
        <v>32</v>
      </c>
      <c r="H184" s="8"/>
      <c r="I184" s="8"/>
      <c r="J184" s="7" t="s">
        <v>406</v>
      </c>
    </row>
    <row r="185" spans="1:10" ht="28" x14ac:dyDescent="0.35">
      <c r="A185" s="7" t="s">
        <v>411</v>
      </c>
      <c r="B185" s="7" t="s">
        <v>404</v>
      </c>
      <c r="C185" s="7" t="s">
        <v>78</v>
      </c>
      <c r="D185" s="8" t="s">
        <v>412</v>
      </c>
      <c r="E185" s="8" t="s">
        <v>54</v>
      </c>
      <c r="F185" s="8" t="s">
        <v>51</v>
      </c>
      <c r="G185" s="8" t="s">
        <v>32</v>
      </c>
      <c r="H185" s="8"/>
      <c r="I185" s="8"/>
      <c r="J185" s="7" t="s">
        <v>406</v>
      </c>
    </row>
    <row r="186" spans="1:10" ht="28" x14ac:dyDescent="0.35">
      <c r="A186" s="7" t="s">
        <v>413</v>
      </c>
      <c r="B186" s="7" t="s">
        <v>404</v>
      </c>
      <c r="C186" s="7" t="s">
        <v>78</v>
      </c>
      <c r="D186" s="8" t="s">
        <v>414</v>
      </c>
      <c r="E186" s="8" t="s">
        <v>54</v>
      </c>
      <c r="F186" s="8" t="s">
        <v>51</v>
      </c>
      <c r="G186" s="8" t="s">
        <v>32</v>
      </c>
      <c r="H186" s="8"/>
      <c r="I186" s="8"/>
      <c r="J186" s="7" t="s">
        <v>406</v>
      </c>
    </row>
    <row r="187" spans="1:10" ht="28" x14ac:dyDescent="0.35">
      <c r="A187" s="7" t="s">
        <v>415</v>
      </c>
      <c r="B187" s="7" t="s">
        <v>404</v>
      </c>
      <c r="C187" s="7" t="s">
        <v>78</v>
      </c>
      <c r="D187" s="8" t="s">
        <v>416</v>
      </c>
      <c r="E187" s="8" t="s">
        <v>54</v>
      </c>
      <c r="F187" s="8" t="s">
        <v>51</v>
      </c>
      <c r="G187" s="8" t="s">
        <v>32</v>
      </c>
      <c r="H187" s="8"/>
      <c r="I187" s="8"/>
      <c r="J187" s="7" t="s">
        <v>406</v>
      </c>
    </row>
    <row r="188" spans="1:10" ht="28" x14ac:dyDescent="0.35">
      <c r="A188" s="7" t="s">
        <v>417</v>
      </c>
      <c r="B188" s="7" t="s">
        <v>404</v>
      </c>
      <c r="C188" s="7" t="s">
        <v>78</v>
      </c>
      <c r="D188" s="8" t="s">
        <v>418</v>
      </c>
      <c r="E188" s="8" t="s">
        <v>54</v>
      </c>
      <c r="F188" s="8" t="s">
        <v>51</v>
      </c>
      <c r="G188" s="8" t="s">
        <v>32</v>
      </c>
      <c r="H188" s="8"/>
      <c r="I188" s="8"/>
      <c r="J188" s="7" t="s">
        <v>406</v>
      </c>
    </row>
    <row r="189" spans="1:10" ht="28" x14ac:dyDescent="0.35">
      <c r="A189" s="7" t="s">
        <v>419</v>
      </c>
      <c r="B189" s="7" t="s">
        <v>404</v>
      </c>
      <c r="C189" s="7" t="s">
        <v>78</v>
      </c>
      <c r="D189" s="8" t="s">
        <v>420</v>
      </c>
      <c r="E189" s="8" t="s">
        <v>54</v>
      </c>
      <c r="F189" s="8" t="s">
        <v>51</v>
      </c>
      <c r="G189" s="8" t="s">
        <v>32</v>
      </c>
      <c r="H189" s="8"/>
      <c r="I189" s="8"/>
      <c r="J189" s="7" t="s">
        <v>406</v>
      </c>
    </row>
    <row r="190" spans="1:10" ht="42" x14ac:dyDescent="0.35">
      <c r="A190" s="7" t="s">
        <v>421</v>
      </c>
      <c r="B190" s="7" t="s">
        <v>404</v>
      </c>
      <c r="C190" s="7" t="s">
        <v>78</v>
      </c>
      <c r="D190" s="8" t="s">
        <v>422</v>
      </c>
      <c r="E190" s="8" t="s">
        <v>50</v>
      </c>
      <c r="F190" s="8" t="s">
        <v>51</v>
      </c>
      <c r="G190" s="8" t="s">
        <v>32</v>
      </c>
      <c r="H190" s="8"/>
      <c r="I190" s="8"/>
      <c r="J190" s="7" t="s">
        <v>406</v>
      </c>
    </row>
    <row r="191" spans="1:10" ht="28" x14ac:dyDescent="0.35">
      <c r="A191" s="7" t="s">
        <v>423</v>
      </c>
      <c r="B191" s="7" t="s">
        <v>404</v>
      </c>
      <c r="C191" s="7" t="s">
        <v>78</v>
      </c>
      <c r="D191" s="8" t="s">
        <v>424</v>
      </c>
      <c r="E191" s="8" t="s">
        <v>50</v>
      </c>
      <c r="F191" s="8" t="s">
        <v>51</v>
      </c>
      <c r="G191" s="8" t="s">
        <v>32</v>
      </c>
      <c r="H191" s="8"/>
      <c r="I191" s="8"/>
      <c r="J191" s="7" t="s">
        <v>406</v>
      </c>
    </row>
    <row r="192" spans="1:10" ht="28" x14ac:dyDescent="0.35">
      <c r="A192" s="7" t="s">
        <v>425</v>
      </c>
      <c r="B192" s="7" t="s">
        <v>404</v>
      </c>
      <c r="C192" s="7" t="s">
        <v>78</v>
      </c>
      <c r="D192" s="8" t="s">
        <v>426</v>
      </c>
      <c r="E192" s="8" t="s">
        <v>50</v>
      </c>
      <c r="F192" s="8" t="s">
        <v>51</v>
      </c>
      <c r="G192" s="8" t="s">
        <v>32</v>
      </c>
      <c r="H192" s="8"/>
      <c r="I192" s="8"/>
      <c r="J192" s="7" t="s">
        <v>406</v>
      </c>
    </row>
  </sheetData>
  <autoFilter ref="A4:J192" xr:uid="{00000000-0009-0000-0000-000001000000}"/>
  <dataValidations count="2">
    <dataValidation type="list" allowBlank="1" sqref="E5:E392" xr:uid="{00000000-0002-0000-0100-000000000000}">
      <formula1>"Built &amp; tested,Built (manual test),Planned,Next,Out of scope"</formula1>
    </dataValidation>
    <dataValidation type="list" allowBlank="1" sqref="F5:F392" xr:uid="{00000000-0002-0000-0100-000001000000}">
      <formula1>"Must,Should,Could,Won't (now)"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workbookViewId="0">
      <pane ySplit="4" topLeftCell="A5" activePane="bottomLeft" state="frozen"/>
      <selection pane="bottomLeft"/>
    </sheetView>
  </sheetViews>
  <sheetFormatPr defaultRowHeight="14.5" x14ac:dyDescent="0.35"/>
  <cols>
    <col min="1" max="1" width="12" customWidth="1"/>
    <col min="2" max="2" width="44" customWidth="1"/>
    <col min="3" max="3" width="14" customWidth="1"/>
    <col min="4" max="5" width="16" customWidth="1"/>
    <col min="6" max="8" width="10" customWidth="1"/>
  </cols>
  <sheetData>
    <row r="1" spans="1:8" ht="20" x14ac:dyDescent="0.4">
      <c r="A1" s="4" t="s">
        <v>427</v>
      </c>
    </row>
    <row r="2" spans="1:8" x14ac:dyDescent="0.35">
      <c r="A2" s="5" t="s">
        <v>428</v>
      </c>
    </row>
    <row r="4" spans="1:8" x14ac:dyDescent="0.35">
      <c r="A4" s="6" t="s">
        <v>429</v>
      </c>
      <c r="B4" s="6" t="s">
        <v>430</v>
      </c>
      <c r="C4" s="6" t="s">
        <v>431</v>
      </c>
      <c r="D4" s="6" t="s">
        <v>54</v>
      </c>
      <c r="E4" s="6" t="s">
        <v>432</v>
      </c>
      <c r="F4" s="6" t="s">
        <v>50</v>
      </c>
      <c r="G4" s="6" t="s">
        <v>63</v>
      </c>
      <c r="H4" s="6" t="s">
        <v>433</v>
      </c>
    </row>
    <row r="5" spans="1:8" x14ac:dyDescent="0.35">
      <c r="A5" s="7" t="s">
        <v>47</v>
      </c>
      <c r="B5" s="7" t="str">
        <f>IFERROR(INDEX('Requirements Register'!$D$5:$D$392,MATCH(A5,'Requirements Register'!$A$5:$A$392,0)),"")</f>
        <v>Tiles &amp; areas: User-managed tiles and areas (create, edit, reorder, delete); empty start with an optional starter set</v>
      </c>
      <c r="C5" s="7">
        <f>COUNTIF('Requirements Register'!$C$5:$C$392,A5)</f>
        <v>17</v>
      </c>
      <c r="D5" s="7">
        <f>COUNTIFS('Requirements Register'!$C$5:$C$392,A5,'Requirements Register'!$E$5:$E$392,"Built &amp; tested")</f>
        <v>3</v>
      </c>
      <c r="E5" s="7">
        <f>COUNTIFS('Requirements Register'!$C$5:$C$392,A5,'Requirements Register'!$E$5:$E$392,"Built (manual test)")</f>
        <v>2</v>
      </c>
      <c r="F5" s="7">
        <f>COUNTIFS('Requirements Register'!$C$5:$C$392,A5,'Requirements Register'!$E$5:$E$392,"Next")</f>
        <v>11</v>
      </c>
      <c r="G5" s="7">
        <f>COUNTIFS('Requirements Register'!$C$5:$C$392,A5,'Requirements Register'!$E$5:$E$392,"Planned")</f>
        <v>0</v>
      </c>
      <c r="H5" s="9">
        <f t="shared" ref="H5:H17" si="0">IF(C5=0,"-",(D5+E5)/C5)</f>
        <v>0.29411764705882354</v>
      </c>
    </row>
    <row r="6" spans="1:8" x14ac:dyDescent="0.35">
      <c r="A6" s="7" t="s">
        <v>52</v>
      </c>
      <c r="B6" s="7" t="str">
        <f>IFERROR(INDEX('Requirements Register'!$D$5:$D$392,MATCH(A6,'Requirements Register'!$A$5:$A$392,0)),"")</f>
        <v>Task management: Create, prioritise, filter, change status/frequency/relevance</v>
      </c>
      <c r="C6" s="7">
        <f>COUNTIF('Requirements Register'!$C$5:$C$392,A6)</f>
        <v>9</v>
      </c>
      <c r="D6" s="7">
        <f>COUNTIFS('Requirements Register'!$C$5:$C$392,A6,'Requirements Register'!$E$5:$E$392,"Built &amp; tested")</f>
        <v>7</v>
      </c>
      <c r="E6" s="7">
        <f>COUNTIFS('Requirements Register'!$C$5:$C$392,A6,'Requirements Register'!$E$5:$E$392,"Built (manual test)")</f>
        <v>2</v>
      </c>
      <c r="F6" s="7">
        <f>COUNTIFS('Requirements Register'!$C$5:$C$392,A6,'Requirements Register'!$E$5:$E$392,"Next")</f>
        <v>0</v>
      </c>
      <c r="G6" s="7">
        <f>COUNTIFS('Requirements Register'!$C$5:$C$392,A6,'Requirements Register'!$E$5:$E$392,"Planned")</f>
        <v>0</v>
      </c>
      <c r="H6" s="9">
        <f t="shared" si="0"/>
        <v>1</v>
      </c>
    </row>
    <row r="7" spans="1:8" x14ac:dyDescent="0.35">
      <c r="A7" s="7" t="s">
        <v>55</v>
      </c>
      <c r="B7" s="7" t="str">
        <f>IFERROR(INDEX('Requirements Register'!$D$5:$D$392,MATCH(A7,'Requirements Register'!$A$5:$A$392,0)),"")</f>
        <v>Completion &amp; streaks: Log completions with note/backfill; activity log; current/best streak</v>
      </c>
      <c r="C7" s="7">
        <f>COUNTIF('Requirements Register'!$C$5:$C$392,A7)</f>
        <v>14</v>
      </c>
      <c r="D7" s="7">
        <f>COUNTIFS('Requirements Register'!$C$5:$C$392,A7,'Requirements Register'!$E$5:$E$392,"Built &amp; tested")</f>
        <v>12</v>
      </c>
      <c r="E7" s="7">
        <f>COUNTIFS('Requirements Register'!$C$5:$C$392,A7,'Requirements Register'!$E$5:$E$392,"Built (manual test)")</f>
        <v>2</v>
      </c>
      <c r="F7" s="7">
        <f>COUNTIFS('Requirements Register'!$C$5:$C$392,A7,'Requirements Register'!$E$5:$E$392,"Next")</f>
        <v>0</v>
      </c>
      <c r="G7" s="7">
        <f>COUNTIFS('Requirements Register'!$C$5:$C$392,A7,'Requirements Register'!$E$5:$E$392,"Planned")</f>
        <v>0</v>
      </c>
      <c r="H7" s="9">
        <f t="shared" si="0"/>
        <v>1</v>
      </c>
    </row>
    <row r="8" spans="1:8" x14ac:dyDescent="0.35">
      <c r="A8" s="7" t="s">
        <v>57</v>
      </c>
      <c r="B8" s="7" t="str">
        <f>IFERROR(INDEX('Requirements Register'!$D$5:$D$392,MATCH(A8,'Requirements Register'!$A$5:$A$392,0)),"")</f>
        <v>Rewards: Create, tag, progress, auto-unlock, claim</v>
      </c>
      <c r="C8" s="7">
        <f>COUNTIF('Requirements Register'!$C$5:$C$392,A8)</f>
        <v>13</v>
      </c>
      <c r="D8" s="7">
        <f>COUNTIFS('Requirements Register'!$C$5:$C$392,A8,'Requirements Register'!$E$5:$E$392,"Built &amp; tested")</f>
        <v>11</v>
      </c>
      <c r="E8" s="7">
        <f>COUNTIFS('Requirements Register'!$C$5:$C$392,A8,'Requirements Register'!$E$5:$E$392,"Built (manual test)")</f>
        <v>2</v>
      </c>
      <c r="F8" s="7">
        <f>COUNTIFS('Requirements Register'!$C$5:$C$392,A8,'Requirements Register'!$E$5:$E$392,"Next")</f>
        <v>0</v>
      </c>
      <c r="G8" s="7">
        <f>COUNTIFS('Requirements Register'!$C$5:$C$392,A8,'Requirements Register'!$E$5:$E$392,"Planned")</f>
        <v>0</v>
      </c>
      <c r="H8" s="9">
        <f t="shared" si="0"/>
        <v>1</v>
      </c>
    </row>
    <row r="9" spans="1:8" x14ac:dyDescent="0.35">
      <c r="A9" s="7" t="s">
        <v>59</v>
      </c>
      <c r="B9" s="7" t="str">
        <f>IFERROR(INDEX('Requirements Register'!$D$5:$D$392,MATCH(A9,'Requirements Register'!$A$5:$A$392,0)),"")</f>
        <v>Insights dashboard: Aggregates, filters, cached reads, claim from dashboard</v>
      </c>
      <c r="C9" s="7">
        <f>COUNTIF('Requirements Register'!$C$5:$C$392,A9)</f>
        <v>11</v>
      </c>
      <c r="D9" s="7">
        <f>COUNTIFS('Requirements Register'!$C$5:$C$392,A9,'Requirements Register'!$E$5:$E$392,"Built &amp; tested")</f>
        <v>3</v>
      </c>
      <c r="E9" s="7">
        <f>COUNTIFS('Requirements Register'!$C$5:$C$392,A9,'Requirements Register'!$E$5:$E$392,"Built (manual test)")</f>
        <v>7</v>
      </c>
      <c r="F9" s="7">
        <f>COUNTIFS('Requirements Register'!$C$5:$C$392,A9,'Requirements Register'!$E$5:$E$392,"Next")</f>
        <v>1</v>
      </c>
      <c r="G9" s="7">
        <f>COUNTIFS('Requirements Register'!$C$5:$C$392,A9,'Requirements Register'!$E$5:$E$392,"Planned")</f>
        <v>0</v>
      </c>
      <c r="H9" s="9">
        <f t="shared" si="0"/>
        <v>0.90909090909090906</v>
      </c>
    </row>
    <row r="10" spans="1:8" x14ac:dyDescent="0.35">
      <c r="A10" s="7" t="s">
        <v>61</v>
      </c>
      <c r="B10" s="7" t="str">
        <f>IFERROR(INDEX('Requirements Register'!$D$5:$D$392,MATCH(A10,'Requirements Register'!$A$5:$A$392,0)),"")</f>
        <v>AI task suggestions: Photos → suggestions → decisions → tasks; non-blocking</v>
      </c>
      <c r="C10" s="7">
        <f>COUNTIF('Requirements Register'!$C$5:$C$392,A10)</f>
        <v>9</v>
      </c>
      <c r="D10" s="7">
        <f>COUNTIFS('Requirements Register'!$C$5:$C$392,A10,'Requirements Register'!$E$5:$E$392,"Built &amp; tested")</f>
        <v>0</v>
      </c>
      <c r="E10" s="7">
        <f>COUNTIFS('Requirements Register'!$C$5:$C$392,A10,'Requirements Register'!$E$5:$E$392,"Built (manual test)")</f>
        <v>0</v>
      </c>
      <c r="F10" s="7">
        <f>COUNTIFS('Requirements Register'!$C$5:$C$392,A10,'Requirements Register'!$E$5:$E$392,"Next")</f>
        <v>0</v>
      </c>
      <c r="G10" s="7">
        <f>COUNTIFS('Requirements Register'!$C$5:$C$392,A10,'Requirements Register'!$E$5:$E$392,"Planned")</f>
        <v>9</v>
      </c>
      <c r="H10" s="9">
        <f t="shared" si="0"/>
        <v>0</v>
      </c>
    </row>
    <row r="11" spans="1:8" x14ac:dyDescent="0.35">
      <c r="A11" s="7" t="s">
        <v>64</v>
      </c>
      <c r="B11" s="7" t="str">
        <f>IFERROR(INDEX('Requirements Register'!$D$5:$D$392,MATCH(A11,'Requirements Register'!$A$5:$A$392,0)),"")</f>
        <v>Module composition: Independently delivered MFE with host fallback</v>
      </c>
      <c r="C11" s="7">
        <f>COUNTIF('Requirements Register'!$C$5:$C$392,A11)</f>
        <v>8</v>
      </c>
      <c r="D11" s="7">
        <f>COUNTIFS('Requirements Register'!$C$5:$C$392,A11,'Requirements Register'!$E$5:$E$392,"Built &amp; tested")</f>
        <v>2</v>
      </c>
      <c r="E11" s="7">
        <f>COUNTIFS('Requirements Register'!$C$5:$C$392,A11,'Requirements Register'!$E$5:$E$392,"Built (manual test)")</f>
        <v>6</v>
      </c>
      <c r="F11" s="7">
        <f>COUNTIFS('Requirements Register'!$C$5:$C$392,A11,'Requirements Register'!$E$5:$E$392,"Next")</f>
        <v>0</v>
      </c>
      <c r="G11" s="7">
        <f>COUNTIFS('Requirements Register'!$C$5:$C$392,A11,'Requirements Register'!$E$5:$E$392,"Planned")</f>
        <v>0</v>
      </c>
      <c r="H11" s="9">
        <f t="shared" si="0"/>
        <v>1</v>
      </c>
    </row>
    <row r="12" spans="1:8" x14ac:dyDescent="0.35">
      <c r="A12" s="7" t="s">
        <v>66</v>
      </c>
      <c r="B12" s="7" t="str">
        <f>IFERROR(INDEX('Requirements Register'!$D$5:$D$392,MATCH(A12,'Requirements Register'!$A$5:$A$392,0)),"")</f>
        <v>API (BFF): Versionable, documented, client-shaped API with demo auth</v>
      </c>
      <c r="C12" s="7">
        <f>COUNTIF('Requirements Register'!$C$5:$C$392,A12)</f>
        <v>7</v>
      </c>
      <c r="D12" s="7">
        <f>COUNTIFS('Requirements Register'!$C$5:$C$392,A12,'Requirements Register'!$E$5:$E$392,"Built &amp; tested")</f>
        <v>7</v>
      </c>
      <c r="E12" s="7">
        <f>COUNTIFS('Requirements Register'!$C$5:$C$392,A12,'Requirements Register'!$E$5:$E$392,"Built (manual test)")</f>
        <v>0</v>
      </c>
      <c r="F12" s="7">
        <f>COUNTIFS('Requirements Register'!$C$5:$C$392,A12,'Requirements Register'!$E$5:$E$392,"Next")</f>
        <v>0</v>
      </c>
      <c r="G12" s="7">
        <f>COUNTIFS('Requirements Register'!$C$5:$C$392,A12,'Requirements Register'!$E$5:$E$392,"Planned")</f>
        <v>0</v>
      </c>
      <c r="H12" s="9">
        <f t="shared" si="0"/>
        <v>1</v>
      </c>
    </row>
    <row r="13" spans="1:8" x14ac:dyDescent="0.35">
      <c r="A13" s="7" t="s">
        <v>68</v>
      </c>
      <c r="B13" s="7" t="str">
        <f>IFERROR(INDEX('Requirements Register'!$D$5:$D$392,MATCH(A13,'Requirements Register'!$A$5:$A$392,0)),"")</f>
        <v>Reward scope and matching: Rewards live in the same tiles and areas as tasks; tasks are matched to rewards inside that scope (selected tasks, or all tasks in scope); existing rewards migrated without data loss</v>
      </c>
      <c r="C13" s="7">
        <f>COUNTIF('Requirements Register'!$C$5:$C$392,A13)</f>
        <v>17</v>
      </c>
      <c r="D13" s="7">
        <f>COUNTIFS('Requirements Register'!$C$5:$C$392,A13,'Requirements Register'!$E$5:$E$392,"Built &amp; tested")</f>
        <v>0</v>
      </c>
      <c r="E13" s="7">
        <f>COUNTIFS('Requirements Register'!$C$5:$C$392,A13,'Requirements Register'!$E$5:$E$392,"Built (manual test)")</f>
        <v>0</v>
      </c>
      <c r="F13" s="7">
        <f>COUNTIFS('Requirements Register'!$C$5:$C$392,A13,'Requirements Register'!$E$5:$E$392,"Next")</f>
        <v>17</v>
      </c>
      <c r="G13" s="7">
        <f>COUNTIFS('Requirements Register'!$C$5:$C$392,A13,'Requirements Register'!$E$5:$E$392,"Planned")</f>
        <v>0</v>
      </c>
      <c r="H13" s="9">
        <f t="shared" si="0"/>
        <v>0</v>
      </c>
    </row>
    <row r="14" spans="1:8" x14ac:dyDescent="0.35">
      <c r="A14" s="7" t="s">
        <v>70</v>
      </c>
      <c r="B14" s="7" t="str">
        <f>IFERROR(INDEX('Requirements Register'!$D$5:$D$392,MATCH(A14,'Requirements Register'!$A$5:$A$392,0)),"")</f>
        <v>Notes, contacts and files: Every tile and area holds notes, contacts (customer care, service executives, vendors) and files (bills, warranty cards), grouped by topic such as "Bosch Dishwasher", with tap-to-call and search</v>
      </c>
      <c r="C14" s="7">
        <f>COUNTIF('Requirements Register'!$C$5:$C$392,A14)</f>
        <v>15</v>
      </c>
      <c r="D14" s="7">
        <f>COUNTIFS('Requirements Register'!$C$5:$C$392,A14,'Requirements Register'!$E$5:$E$392,"Built &amp; tested")</f>
        <v>0</v>
      </c>
      <c r="E14" s="7">
        <f>COUNTIFS('Requirements Register'!$C$5:$C$392,A14,'Requirements Register'!$E$5:$E$392,"Built (manual test)")</f>
        <v>0</v>
      </c>
      <c r="F14" s="7">
        <f>COUNTIFS('Requirements Register'!$C$5:$C$392,A14,'Requirements Register'!$E$5:$E$392,"Next")</f>
        <v>15</v>
      </c>
      <c r="G14" s="7">
        <f>COUNTIFS('Requirements Register'!$C$5:$C$392,A14,'Requirements Register'!$E$5:$E$392,"Planned")</f>
        <v>0</v>
      </c>
      <c r="H14" s="9">
        <f t="shared" si="0"/>
        <v>0</v>
      </c>
    </row>
    <row r="15" spans="1:8" x14ac:dyDescent="0.35">
      <c r="A15" s="7" t="s">
        <v>72</v>
      </c>
      <c r="B15" s="7" t="str">
        <f>IFERROR(INDEX('Requirements Register'!$D$5:$D$392,MATCH(A15,'Requirements Register'!$A$5:$A$392,0)),"")</f>
        <v>Task planning and visibility: Tasks can be milestones (badge, filter, "milestone completed" reward rule, bigger celebration), have a due date and time and a days-to-complete target, and be announced or silent (silent = hidden from the public view and completed without celebration)</v>
      </c>
      <c r="C15" s="7">
        <f>COUNTIF('Requirements Register'!$C$5:$C$392,A15)</f>
        <v>19</v>
      </c>
      <c r="D15" s="7">
        <f>COUNTIFS('Requirements Register'!$C$5:$C$392,A15,'Requirements Register'!$E$5:$E$392,"Built &amp; tested")</f>
        <v>0</v>
      </c>
      <c r="E15" s="7">
        <f>COUNTIFS('Requirements Register'!$C$5:$C$392,A15,'Requirements Register'!$E$5:$E$392,"Built (manual test)")</f>
        <v>0</v>
      </c>
      <c r="F15" s="7">
        <f>COUNTIFS('Requirements Register'!$C$5:$C$392,A15,'Requirements Register'!$E$5:$E$392,"Next")</f>
        <v>19</v>
      </c>
      <c r="G15" s="7">
        <f>COUNTIFS('Requirements Register'!$C$5:$C$392,A15,'Requirements Register'!$E$5:$E$392,"Planned")</f>
        <v>0</v>
      </c>
      <c r="H15" s="9">
        <f t="shared" si="0"/>
        <v>0</v>
      </c>
    </row>
    <row r="16" spans="1:8" x14ac:dyDescent="0.35">
      <c r="A16" s="7" t="s">
        <v>74</v>
      </c>
      <c r="B16" s="7" t="str">
        <f>IFERROR(INDEX('Requirements Register'!$D$5:$D$392,MATCH(A16,'Requirements Register'!$A$5:$A$392,0)),"")</f>
        <v>Reward ideas and wishlist: Capture a reward idea in seconds (e.g. a book for Shiragi spotted at the library) without a rule; turn it into a real reward later, or mark it bought or dropped; every reward says who it's for</v>
      </c>
      <c r="C16" s="7">
        <f>COUNTIF('Requirements Register'!$C$5:$C$392,A16)</f>
        <v>14</v>
      </c>
      <c r="D16" s="7">
        <f>COUNTIFS('Requirements Register'!$C$5:$C$392,A16,'Requirements Register'!$E$5:$E$392,"Built &amp; tested")</f>
        <v>0</v>
      </c>
      <c r="E16" s="7">
        <f>COUNTIFS('Requirements Register'!$C$5:$C$392,A16,'Requirements Register'!$E$5:$E$392,"Built (manual test)")</f>
        <v>0</v>
      </c>
      <c r="F16" s="7">
        <f>COUNTIFS('Requirements Register'!$C$5:$C$392,A16,'Requirements Register'!$E$5:$E$392,"Next")</f>
        <v>14</v>
      </c>
      <c r="G16" s="7">
        <f>COUNTIFS('Requirements Register'!$C$5:$C$392,A16,'Requirements Register'!$E$5:$E$392,"Planned")</f>
        <v>0</v>
      </c>
      <c r="H16" s="9">
        <f t="shared" si="0"/>
        <v>0</v>
      </c>
    </row>
    <row r="17" spans="1:8" x14ac:dyDescent="0.35">
      <c r="A17" s="10" t="s">
        <v>434</v>
      </c>
      <c r="B17" s="10"/>
      <c r="C17" s="10">
        <f>SUM(C5:C16)</f>
        <v>153</v>
      </c>
      <c r="D17" s="10">
        <f>SUM(D5:D16)</f>
        <v>45</v>
      </c>
      <c r="E17" s="10">
        <f>SUM(E5:E16)</f>
        <v>21</v>
      </c>
      <c r="F17" s="10">
        <f>SUM(F5:F16)</f>
        <v>77</v>
      </c>
      <c r="G17" s="10">
        <f>SUM(G5:G16)</f>
        <v>9</v>
      </c>
      <c r="H17" s="11">
        <f t="shared" si="0"/>
        <v>0.43137254901960786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9"/>
  <sheetViews>
    <sheetView workbookViewId="0"/>
  </sheetViews>
  <sheetFormatPr defaultRowHeight="14.5" x14ac:dyDescent="0.35"/>
  <cols>
    <col min="1" max="1" width="70" customWidth="1"/>
  </cols>
  <sheetData>
    <row r="1" spans="1:1" ht="20" x14ac:dyDescent="0.4">
      <c r="A1" s="4" t="s">
        <v>435</v>
      </c>
    </row>
    <row r="3" spans="1:1" x14ac:dyDescent="0.35">
      <c r="A3" s="12" t="s">
        <v>436</v>
      </c>
    </row>
    <row r="5" spans="1:1" x14ac:dyDescent="0.35">
      <c r="A5" s="12" t="s">
        <v>437</v>
      </c>
    </row>
    <row r="7" spans="1:1" x14ac:dyDescent="0.35">
      <c r="A7" s="7" t="s">
        <v>438</v>
      </c>
    </row>
    <row r="8" spans="1:1" ht="28" x14ac:dyDescent="0.35">
      <c r="A8" s="7" t="s">
        <v>439</v>
      </c>
    </row>
    <row r="9" spans="1:1" ht="28" x14ac:dyDescent="0.35">
      <c r="A9" s="7" t="s">
        <v>440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0"/>
  <sheetViews>
    <sheetView workbookViewId="0"/>
  </sheetViews>
  <sheetFormatPr defaultRowHeight="14.5" x14ac:dyDescent="0.35"/>
  <cols>
    <col min="1" max="4" width="70" customWidth="1"/>
  </cols>
  <sheetData>
    <row r="1" spans="1:4" ht="20" x14ac:dyDescent="0.4">
      <c r="A1" s="4" t="s">
        <v>441</v>
      </c>
    </row>
    <row r="3" spans="1:4" ht="15.5" x14ac:dyDescent="0.35">
      <c r="A3" s="13" t="s">
        <v>442</v>
      </c>
    </row>
    <row r="4" spans="1:4" x14ac:dyDescent="0.35">
      <c r="A4" s="12" t="s">
        <v>443</v>
      </c>
    </row>
    <row r="6" spans="1:4" ht="15.5" x14ac:dyDescent="0.35">
      <c r="A6" s="13" t="s">
        <v>444</v>
      </c>
    </row>
    <row r="7" spans="1:4" x14ac:dyDescent="0.35">
      <c r="A7" s="6" t="s">
        <v>445</v>
      </c>
      <c r="B7" s="6" t="s">
        <v>446</v>
      </c>
      <c r="C7" s="6" t="s">
        <v>447</v>
      </c>
      <c r="D7" s="6" t="s">
        <v>448</v>
      </c>
    </row>
    <row r="8" spans="1:4" ht="28" x14ac:dyDescent="0.35">
      <c r="A8" s="7" t="s">
        <v>449</v>
      </c>
      <c r="B8" s="7" t="s">
        <v>450</v>
      </c>
      <c r="C8" s="7" t="s">
        <v>451</v>
      </c>
      <c r="D8" s="7" t="s">
        <v>452</v>
      </c>
    </row>
    <row r="9" spans="1:4" x14ac:dyDescent="0.35">
      <c r="A9" s="7" t="s">
        <v>453</v>
      </c>
      <c r="B9" s="7" t="s">
        <v>454</v>
      </c>
      <c r="C9" s="7" t="s">
        <v>455</v>
      </c>
      <c r="D9" s="7" t="s">
        <v>456</v>
      </c>
    </row>
    <row r="10" spans="1:4" x14ac:dyDescent="0.35">
      <c r="A10" s="7" t="s">
        <v>457</v>
      </c>
      <c r="B10" s="7" t="s">
        <v>458</v>
      </c>
      <c r="C10" s="7" t="s">
        <v>459</v>
      </c>
      <c r="D10" s="7" t="s">
        <v>460</v>
      </c>
    </row>
    <row r="11" spans="1:4" x14ac:dyDescent="0.35">
      <c r="A11" s="7" t="s">
        <v>461</v>
      </c>
      <c r="B11" s="7" t="s">
        <v>462</v>
      </c>
      <c r="C11" s="7" t="s">
        <v>463</v>
      </c>
      <c r="D11" s="7" t="s">
        <v>464</v>
      </c>
    </row>
    <row r="13" spans="1:4" ht="15.5" x14ac:dyDescent="0.35">
      <c r="A13" s="13" t="s">
        <v>465</v>
      </c>
    </row>
    <row r="14" spans="1:4" x14ac:dyDescent="0.35">
      <c r="A14" s="6" t="s">
        <v>466</v>
      </c>
      <c r="B14" s="6" t="s">
        <v>27</v>
      </c>
      <c r="C14" s="6" t="s">
        <v>467</v>
      </c>
      <c r="D14" s="6" t="s">
        <v>468</v>
      </c>
    </row>
    <row r="15" spans="1:4" ht="28" x14ac:dyDescent="0.35">
      <c r="A15" s="7" t="s">
        <v>469</v>
      </c>
      <c r="B15" s="7" t="s">
        <v>470</v>
      </c>
      <c r="C15" s="7" t="s">
        <v>471</v>
      </c>
      <c r="D15" s="7" t="s">
        <v>472</v>
      </c>
    </row>
    <row r="16" spans="1:4" ht="28" x14ac:dyDescent="0.35">
      <c r="A16" s="7" t="s">
        <v>473</v>
      </c>
      <c r="B16" s="7" t="s">
        <v>474</v>
      </c>
      <c r="C16" s="7" t="s">
        <v>475</v>
      </c>
      <c r="D16" s="7" t="s">
        <v>476</v>
      </c>
    </row>
    <row r="17" spans="1:4" x14ac:dyDescent="0.35">
      <c r="A17" s="7" t="s">
        <v>477</v>
      </c>
      <c r="B17" s="7" t="s">
        <v>474</v>
      </c>
      <c r="C17" s="7" t="s">
        <v>478</v>
      </c>
      <c r="D17" s="7" t="s">
        <v>479</v>
      </c>
    </row>
    <row r="18" spans="1:4" ht="28" x14ac:dyDescent="0.35">
      <c r="A18" s="7" t="s">
        <v>480</v>
      </c>
      <c r="B18" s="7" t="s">
        <v>481</v>
      </c>
      <c r="C18" s="7" t="s">
        <v>482</v>
      </c>
      <c r="D18" s="7" t="s">
        <v>483</v>
      </c>
    </row>
    <row r="19" spans="1:4" ht="28" x14ac:dyDescent="0.35">
      <c r="A19" s="7" t="s">
        <v>484</v>
      </c>
      <c r="B19" s="7" t="s">
        <v>485</v>
      </c>
      <c r="C19" s="7" t="s">
        <v>486</v>
      </c>
      <c r="D19" s="7" t="s">
        <v>487</v>
      </c>
    </row>
    <row r="20" spans="1:4" x14ac:dyDescent="0.35">
      <c r="A20" s="7" t="s">
        <v>488</v>
      </c>
      <c r="B20" s="7" t="s">
        <v>489</v>
      </c>
      <c r="C20" s="7" t="s">
        <v>490</v>
      </c>
      <c r="D20" s="7" t="s">
        <v>491</v>
      </c>
    </row>
    <row r="21" spans="1:4" x14ac:dyDescent="0.35">
      <c r="A21" s="7" t="s">
        <v>492</v>
      </c>
      <c r="B21" s="7" t="s">
        <v>489</v>
      </c>
      <c r="C21" s="7" t="s">
        <v>493</v>
      </c>
      <c r="D21" s="7" t="s">
        <v>494</v>
      </c>
    </row>
    <row r="22" spans="1:4" x14ac:dyDescent="0.35">
      <c r="A22" s="7" t="s">
        <v>495</v>
      </c>
      <c r="B22" s="7" t="s">
        <v>489</v>
      </c>
      <c r="C22" s="7" t="s">
        <v>496</v>
      </c>
      <c r="D22" s="7" t="s">
        <v>497</v>
      </c>
    </row>
    <row r="23" spans="1:4" x14ac:dyDescent="0.35">
      <c r="A23" s="7" t="s">
        <v>498</v>
      </c>
      <c r="B23" s="7" t="s">
        <v>499</v>
      </c>
      <c r="C23" s="7" t="s">
        <v>500</v>
      </c>
      <c r="D23" s="7" t="s">
        <v>501</v>
      </c>
    </row>
    <row r="24" spans="1:4" ht="28" x14ac:dyDescent="0.35">
      <c r="A24" s="7" t="s">
        <v>502</v>
      </c>
      <c r="B24" s="7" t="s">
        <v>503</v>
      </c>
      <c r="C24" s="7" t="s">
        <v>504</v>
      </c>
      <c r="D24" s="7" t="s">
        <v>505</v>
      </c>
    </row>
    <row r="25" spans="1:4" ht="42" x14ac:dyDescent="0.35">
      <c r="A25" s="7" t="s">
        <v>506</v>
      </c>
      <c r="B25" s="7" t="s">
        <v>507</v>
      </c>
      <c r="C25" s="7" t="s">
        <v>508</v>
      </c>
      <c r="D25" s="7" t="s">
        <v>509</v>
      </c>
    </row>
    <row r="26" spans="1:4" ht="42" x14ac:dyDescent="0.35">
      <c r="A26" s="7" t="s">
        <v>510</v>
      </c>
      <c r="B26" s="7" t="s">
        <v>507</v>
      </c>
      <c r="C26" s="7" t="s">
        <v>511</v>
      </c>
      <c r="D26" s="7" t="s">
        <v>512</v>
      </c>
    </row>
    <row r="27" spans="1:4" ht="42" x14ac:dyDescent="0.35">
      <c r="A27" s="7" t="s">
        <v>513</v>
      </c>
      <c r="B27" s="7" t="s">
        <v>507</v>
      </c>
      <c r="C27" s="7" t="s">
        <v>514</v>
      </c>
      <c r="D27" s="7" t="s">
        <v>515</v>
      </c>
    </row>
    <row r="28" spans="1:4" ht="28" x14ac:dyDescent="0.35">
      <c r="A28" s="7" t="s">
        <v>516</v>
      </c>
      <c r="B28" s="7" t="s">
        <v>517</v>
      </c>
      <c r="C28" s="7" t="s">
        <v>518</v>
      </c>
      <c r="D28" s="7" t="s">
        <v>519</v>
      </c>
    </row>
    <row r="30" spans="1:4" ht="15.5" x14ac:dyDescent="0.35">
      <c r="A30" s="13" t="s">
        <v>520</v>
      </c>
    </row>
    <row r="31" spans="1:4" ht="28" x14ac:dyDescent="0.35">
      <c r="A31" s="7" t="s">
        <v>521</v>
      </c>
    </row>
    <row r="32" spans="1:4" x14ac:dyDescent="0.35">
      <c r="A32" s="7" t="s">
        <v>522</v>
      </c>
    </row>
    <row r="33" spans="1:1" x14ac:dyDescent="0.35">
      <c r="A33" s="7" t="s">
        <v>523</v>
      </c>
    </row>
    <row r="34" spans="1:1" x14ac:dyDescent="0.35">
      <c r="A34" s="7" t="s">
        <v>524</v>
      </c>
    </row>
    <row r="36" spans="1:1" ht="15.5" x14ac:dyDescent="0.35">
      <c r="A36" s="13" t="s">
        <v>525</v>
      </c>
    </row>
    <row r="37" spans="1:1" ht="28" x14ac:dyDescent="0.35">
      <c r="A37" s="7" t="s">
        <v>526</v>
      </c>
    </row>
    <row r="38" spans="1:1" ht="28" x14ac:dyDescent="0.35">
      <c r="A38" s="7" t="s">
        <v>527</v>
      </c>
    </row>
    <row r="39" spans="1:1" x14ac:dyDescent="0.35">
      <c r="A39" s="7" t="s">
        <v>528</v>
      </c>
    </row>
    <row r="40" spans="1:1" ht="28" x14ac:dyDescent="0.35">
      <c r="A40" s="7" t="s">
        <v>529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heetViews>
  <sheetFormatPr defaultRowHeight="14.5" x14ac:dyDescent="0.35"/>
  <cols>
    <col min="1" max="1" width="55" customWidth="1"/>
    <col min="2" max="3" width="70" customWidth="1"/>
  </cols>
  <sheetData>
    <row r="1" spans="1:3" ht="20" x14ac:dyDescent="0.4">
      <c r="A1" s="4" t="s">
        <v>530</v>
      </c>
    </row>
    <row r="3" spans="1:3" ht="15.5" x14ac:dyDescent="0.35">
      <c r="A3" s="13" t="s">
        <v>531</v>
      </c>
    </row>
    <row r="4" spans="1:3" x14ac:dyDescent="0.35">
      <c r="A4" s="12" t="s">
        <v>532</v>
      </c>
    </row>
    <row r="6" spans="1:3" ht="15.5" x14ac:dyDescent="0.35">
      <c r="A6" s="13" t="s">
        <v>533</v>
      </c>
    </row>
    <row r="7" spans="1:3" x14ac:dyDescent="0.35">
      <c r="A7" s="12" t="s">
        <v>532</v>
      </c>
    </row>
    <row r="9" spans="1:3" ht="15.5" x14ac:dyDescent="0.35">
      <c r="A9" s="13" t="s">
        <v>534</v>
      </c>
    </row>
    <row r="10" spans="1:3" x14ac:dyDescent="0.35">
      <c r="A10" s="6" t="s">
        <v>535</v>
      </c>
      <c r="B10" s="6" t="s">
        <v>536</v>
      </c>
      <c r="C10" s="6" t="s">
        <v>537</v>
      </c>
    </row>
    <row r="11" spans="1:3" ht="28" x14ac:dyDescent="0.35">
      <c r="A11" s="7" t="s">
        <v>538</v>
      </c>
      <c r="B11" s="7" t="s">
        <v>539</v>
      </c>
      <c r="C11" s="7" t="s">
        <v>540</v>
      </c>
    </row>
    <row r="12" spans="1:3" x14ac:dyDescent="0.35">
      <c r="A12" s="7" t="s">
        <v>541</v>
      </c>
      <c r="B12" s="7" t="s">
        <v>542</v>
      </c>
      <c r="C12" s="7" t="s">
        <v>543</v>
      </c>
    </row>
    <row r="13" spans="1:3" x14ac:dyDescent="0.35">
      <c r="A13" s="7" t="s">
        <v>544</v>
      </c>
      <c r="B13" s="7" t="s">
        <v>545</v>
      </c>
      <c r="C13" s="7" t="s">
        <v>546</v>
      </c>
    </row>
    <row r="14" spans="1:3" x14ac:dyDescent="0.35">
      <c r="A14" s="7" t="s">
        <v>547</v>
      </c>
      <c r="B14" s="7" t="s">
        <v>548</v>
      </c>
      <c r="C14" s="7" t="s">
        <v>549</v>
      </c>
    </row>
    <row r="15" spans="1:3" x14ac:dyDescent="0.35">
      <c r="A15" s="7" t="s">
        <v>550</v>
      </c>
      <c r="B15" s="7" t="s">
        <v>551</v>
      </c>
      <c r="C15" s="7" t="s">
        <v>552</v>
      </c>
    </row>
    <row r="16" spans="1:3" ht="28" x14ac:dyDescent="0.35">
      <c r="A16" s="7" t="s">
        <v>553</v>
      </c>
      <c r="B16" s="7" t="s">
        <v>554</v>
      </c>
      <c r="C16" s="7" t="s">
        <v>555</v>
      </c>
    </row>
    <row r="17" spans="1:3" x14ac:dyDescent="0.35">
      <c r="A17" s="7" t="s">
        <v>556</v>
      </c>
      <c r="B17" s="7" t="s">
        <v>557</v>
      </c>
      <c r="C17" s="7" t="s">
        <v>558</v>
      </c>
    </row>
    <row r="18" spans="1:3" x14ac:dyDescent="0.35">
      <c r="A18" s="7" t="s">
        <v>559</v>
      </c>
      <c r="B18" s="7" t="s">
        <v>560</v>
      </c>
      <c r="C18" s="7" t="s">
        <v>561</v>
      </c>
    </row>
    <row r="19" spans="1:3" ht="28" x14ac:dyDescent="0.35">
      <c r="A19" s="7" t="s">
        <v>562</v>
      </c>
      <c r="B19" s="7" t="s">
        <v>563</v>
      </c>
      <c r="C19" s="7" t="s">
        <v>564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2"/>
  <sheetViews>
    <sheetView workbookViewId="0"/>
  </sheetViews>
  <sheetFormatPr defaultRowHeight="14.5" x14ac:dyDescent="0.35"/>
  <cols>
    <col min="1" max="4" width="70" customWidth="1"/>
    <col min="5" max="5" width="16" customWidth="1"/>
  </cols>
  <sheetData>
    <row r="1" spans="1:5" ht="20" x14ac:dyDescent="0.4">
      <c r="A1" s="4" t="s">
        <v>565</v>
      </c>
    </row>
    <row r="3" spans="1:5" ht="15.5" x14ac:dyDescent="0.35">
      <c r="A3" s="13" t="s">
        <v>566</v>
      </c>
    </row>
    <row r="4" spans="1:5" x14ac:dyDescent="0.35">
      <c r="A4" s="12" t="s">
        <v>532</v>
      </c>
    </row>
    <row r="6" spans="1:5" ht="15.5" x14ac:dyDescent="0.35">
      <c r="A6" s="13" t="s">
        <v>567</v>
      </c>
    </row>
    <row r="7" spans="1:5" x14ac:dyDescent="0.35">
      <c r="A7" s="12" t="s">
        <v>532</v>
      </c>
    </row>
    <row r="9" spans="1:5" ht="15.5" x14ac:dyDescent="0.35">
      <c r="A9" s="13" t="s">
        <v>568</v>
      </c>
    </row>
    <row r="10" spans="1:5" x14ac:dyDescent="0.35">
      <c r="A10" s="6" t="s">
        <v>466</v>
      </c>
      <c r="B10" s="6" t="s">
        <v>569</v>
      </c>
      <c r="C10" s="6" t="s">
        <v>536</v>
      </c>
      <c r="D10" s="6" t="s">
        <v>570</v>
      </c>
      <c r="E10" s="6" t="s">
        <v>571</v>
      </c>
    </row>
    <row r="11" spans="1:5" x14ac:dyDescent="0.35">
      <c r="A11" s="7" t="s">
        <v>572</v>
      </c>
      <c r="B11" s="7" t="s">
        <v>573</v>
      </c>
      <c r="C11" s="7" t="s">
        <v>574</v>
      </c>
      <c r="D11" s="7" t="s">
        <v>575</v>
      </c>
      <c r="E11" s="7" t="s">
        <v>576</v>
      </c>
    </row>
    <row r="12" spans="1:5" x14ac:dyDescent="0.35">
      <c r="A12" s="7" t="s">
        <v>577</v>
      </c>
      <c r="B12" s="7" t="s">
        <v>541</v>
      </c>
      <c r="C12" s="7" t="s">
        <v>578</v>
      </c>
      <c r="D12" s="7" t="s">
        <v>579</v>
      </c>
      <c r="E12" s="7" t="s">
        <v>580</v>
      </c>
    </row>
    <row r="13" spans="1:5" x14ac:dyDescent="0.35">
      <c r="A13" s="7" t="s">
        <v>581</v>
      </c>
      <c r="B13" s="7" t="s">
        <v>582</v>
      </c>
      <c r="C13" s="7" t="s">
        <v>583</v>
      </c>
      <c r="D13" s="7" t="s">
        <v>584</v>
      </c>
      <c r="E13" s="7" t="s">
        <v>576</v>
      </c>
    </row>
    <row r="14" spans="1:5" x14ac:dyDescent="0.35">
      <c r="A14" s="7" t="s">
        <v>585</v>
      </c>
      <c r="B14" s="7" t="s">
        <v>586</v>
      </c>
      <c r="C14" s="7" t="s">
        <v>587</v>
      </c>
      <c r="D14" s="7" t="s">
        <v>588</v>
      </c>
      <c r="E14" s="7" t="s">
        <v>576</v>
      </c>
    </row>
    <row r="15" spans="1:5" ht="28" x14ac:dyDescent="0.35">
      <c r="A15" s="7" t="s">
        <v>589</v>
      </c>
      <c r="B15" s="7" t="s">
        <v>590</v>
      </c>
      <c r="C15" s="7" t="s">
        <v>591</v>
      </c>
      <c r="D15" s="7" t="s">
        <v>592</v>
      </c>
      <c r="E15" s="7" t="s">
        <v>593</v>
      </c>
    </row>
    <row r="16" spans="1:5" x14ac:dyDescent="0.35">
      <c r="A16" s="7" t="s">
        <v>594</v>
      </c>
      <c r="B16" s="7" t="s">
        <v>595</v>
      </c>
      <c r="C16" s="7" t="s">
        <v>560</v>
      </c>
      <c r="D16" s="7" t="s">
        <v>596</v>
      </c>
      <c r="E16" s="7" t="s">
        <v>593</v>
      </c>
    </row>
    <row r="17" spans="1:5" x14ac:dyDescent="0.35">
      <c r="A17" s="7" t="s">
        <v>597</v>
      </c>
      <c r="B17" s="7" t="s">
        <v>598</v>
      </c>
      <c r="C17" s="7" t="s">
        <v>560</v>
      </c>
      <c r="D17" s="7" t="s">
        <v>599</v>
      </c>
      <c r="E17" s="7" t="s">
        <v>600</v>
      </c>
    </row>
    <row r="18" spans="1:5" x14ac:dyDescent="0.35">
      <c r="A18" s="7" t="s">
        <v>601</v>
      </c>
      <c r="B18" s="7" t="s">
        <v>602</v>
      </c>
      <c r="C18" s="7" t="s">
        <v>603</v>
      </c>
      <c r="D18" s="7" t="s">
        <v>604</v>
      </c>
      <c r="E18" s="7" t="s">
        <v>593</v>
      </c>
    </row>
    <row r="19" spans="1:5" x14ac:dyDescent="0.35">
      <c r="A19" s="7" t="s">
        <v>605</v>
      </c>
      <c r="B19" s="7" t="s">
        <v>606</v>
      </c>
      <c r="C19" s="7" t="s">
        <v>607</v>
      </c>
      <c r="D19" s="7" t="s">
        <v>608</v>
      </c>
      <c r="E19" s="7" t="s">
        <v>609</v>
      </c>
    </row>
    <row r="20" spans="1:5" x14ac:dyDescent="0.35">
      <c r="A20" s="7" t="s">
        <v>610</v>
      </c>
      <c r="B20" s="7" t="s">
        <v>611</v>
      </c>
      <c r="C20" s="7" t="s">
        <v>612</v>
      </c>
      <c r="D20" s="7" t="s">
        <v>613</v>
      </c>
      <c r="E20" s="7" t="s">
        <v>609</v>
      </c>
    </row>
    <row r="21" spans="1:5" x14ac:dyDescent="0.35">
      <c r="A21" s="7" t="s">
        <v>614</v>
      </c>
      <c r="B21" s="7" t="s">
        <v>615</v>
      </c>
      <c r="C21" s="7" t="s">
        <v>616</v>
      </c>
      <c r="D21" s="7" t="s">
        <v>617</v>
      </c>
      <c r="E21" s="7" t="s">
        <v>593</v>
      </c>
    </row>
    <row r="22" spans="1:5" ht="28" x14ac:dyDescent="0.35">
      <c r="A22" s="7" t="s">
        <v>618</v>
      </c>
      <c r="B22" s="7" t="s">
        <v>619</v>
      </c>
      <c r="C22" s="7" t="s">
        <v>620</v>
      </c>
      <c r="D22" s="7" t="s">
        <v>621</v>
      </c>
      <c r="E22" s="7" t="s">
        <v>576</v>
      </c>
    </row>
    <row r="23" spans="1:5" ht="28" x14ac:dyDescent="0.35">
      <c r="A23" s="7" t="s">
        <v>622</v>
      </c>
      <c r="B23" s="7" t="s">
        <v>623</v>
      </c>
      <c r="C23" s="7" t="s">
        <v>624</v>
      </c>
      <c r="D23" s="7" t="s">
        <v>625</v>
      </c>
      <c r="E23" s="7" t="s">
        <v>580</v>
      </c>
    </row>
    <row r="24" spans="1:5" ht="28" x14ac:dyDescent="0.35">
      <c r="A24" s="7" t="s">
        <v>626</v>
      </c>
      <c r="B24" s="7" t="s">
        <v>627</v>
      </c>
      <c r="C24" s="7" t="s">
        <v>628</v>
      </c>
      <c r="D24" s="7" t="s">
        <v>629</v>
      </c>
      <c r="E24" s="7" t="s">
        <v>593</v>
      </c>
    </row>
    <row r="25" spans="1:5" ht="28" x14ac:dyDescent="0.35">
      <c r="A25" s="7" t="s">
        <v>630</v>
      </c>
      <c r="B25" s="7" t="s">
        <v>631</v>
      </c>
      <c r="C25" s="7" t="s">
        <v>632</v>
      </c>
      <c r="D25" s="7" t="s">
        <v>633</v>
      </c>
      <c r="E25" s="7" t="s">
        <v>593</v>
      </c>
    </row>
    <row r="27" spans="1:5" ht="15.5" x14ac:dyDescent="0.35">
      <c r="A27" s="13" t="s">
        <v>634</v>
      </c>
    </row>
    <row r="28" spans="1:5" x14ac:dyDescent="0.35">
      <c r="A28" s="6" t="s">
        <v>635</v>
      </c>
      <c r="B28" s="6" t="s">
        <v>636</v>
      </c>
      <c r="C28" s="6" t="s">
        <v>22</v>
      </c>
    </row>
    <row r="29" spans="1:5" x14ac:dyDescent="0.35">
      <c r="A29" s="7" t="s">
        <v>637</v>
      </c>
      <c r="B29" s="7" t="s">
        <v>638</v>
      </c>
      <c r="C29" s="7" t="s">
        <v>639</v>
      </c>
    </row>
    <row r="30" spans="1:5" ht="28" x14ac:dyDescent="0.35">
      <c r="A30" s="7" t="s">
        <v>640</v>
      </c>
      <c r="B30" s="7" t="s">
        <v>641</v>
      </c>
      <c r="C30" s="7" t="s">
        <v>642</v>
      </c>
    </row>
    <row r="31" spans="1:5" x14ac:dyDescent="0.35">
      <c r="A31" s="7" t="s">
        <v>643</v>
      </c>
      <c r="B31" s="7" t="s">
        <v>644</v>
      </c>
      <c r="C31" s="7" t="s">
        <v>639</v>
      </c>
    </row>
    <row r="32" spans="1:5" ht="28" x14ac:dyDescent="0.35">
      <c r="A32" s="7" t="s">
        <v>645</v>
      </c>
      <c r="B32" s="7" t="s">
        <v>646</v>
      </c>
      <c r="C32" s="7" t="s">
        <v>642</v>
      </c>
    </row>
    <row r="33" spans="1:3" ht="28" x14ac:dyDescent="0.35">
      <c r="A33" s="7" t="s">
        <v>647</v>
      </c>
      <c r="B33" s="7" t="s">
        <v>648</v>
      </c>
      <c r="C33" s="7" t="s">
        <v>649</v>
      </c>
    </row>
    <row r="34" spans="1:3" x14ac:dyDescent="0.35">
      <c r="A34" s="7" t="s">
        <v>650</v>
      </c>
      <c r="B34" s="7" t="s">
        <v>651</v>
      </c>
      <c r="C34" s="7" t="s">
        <v>652</v>
      </c>
    </row>
    <row r="35" spans="1:3" x14ac:dyDescent="0.35">
      <c r="A35" s="7" t="s">
        <v>653</v>
      </c>
      <c r="B35" s="7" t="s">
        <v>654</v>
      </c>
      <c r="C35" s="7" t="s">
        <v>652</v>
      </c>
    </row>
    <row r="36" spans="1:3" ht="28" x14ac:dyDescent="0.35">
      <c r="A36" s="7" t="s">
        <v>655</v>
      </c>
      <c r="B36" s="7" t="s">
        <v>656</v>
      </c>
      <c r="C36" s="7" t="s">
        <v>652</v>
      </c>
    </row>
    <row r="37" spans="1:3" x14ac:dyDescent="0.35">
      <c r="A37" s="7" t="s">
        <v>657</v>
      </c>
      <c r="B37" s="7" t="s">
        <v>658</v>
      </c>
      <c r="C37" s="7" t="s">
        <v>652</v>
      </c>
    </row>
    <row r="38" spans="1:3" x14ac:dyDescent="0.35">
      <c r="A38" s="7" t="s">
        <v>659</v>
      </c>
      <c r="B38" s="7" t="s">
        <v>660</v>
      </c>
      <c r="C38" s="7" t="s">
        <v>661</v>
      </c>
    </row>
    <row r="39" spans="1:3" x14ac:dyDescent="0.35">
      <c r="A39" s="7" t="s">
        <v>662</v>
      </c>
      <c r="B39" s="7" t="s">
        <v>663</v>
      </c>
      <c r="C39" s="7" t="s">
        <v>661</v>
      </c>
    </row>
    <row r="40" spans="1:3" x14ac:dyDescent="0.35">
      <c r="A40" s="7" t="s">
        <v>664</v>
      </c>
      <c r="B40" s="7" t="s">
        <v>665</v>
      </c>
      <c r="C40" s="7" t="s">
        <v>666</v>
      </c>
    </row>
    <row r="42" spans="1:3" x14ac:dyDescent="0.35">
      <c r="A42" s="12" t="s">
        <v>667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
  <sheetViews>
    <sheetView workbookViewId="0"/>
  </sheetViews>
  <sheetFormatPr defaultRowHeight="14.5" x14ac:dyDescent="0.35"/>
  <cols>
    <col min="1" max="1" width="70" customWidth="1"/>
    <col min="2" max="2" width="52" customWidth="1"/>
    <col min="3" max="3" width="28" customWidth="1"/>
  </cols>
  <sheetData>
    <row r="1" spans="1:3" ht="20" x14ac:dyDescent="0.4">
      <c r="A1" s="4" t="s">
        <v>668</v>
      </c>
    </row>
    <row r="3" spans="1:3" x14ac:dyDescent="0.35">
      <c r="A3" s="6" t="s">
        <v>669</v>
      </c>
      <c r="B3" s="6" t="s">
        <v>670</v>
      </c>
      <c r="C3" s="6" t="s">
        <v>96</v>
      </c>
    </row>
    <row r="4" spans="1:3" ht="42" x14ac:dyDescent="0.35">
      <c r="A4" s="7" t="s">
        <v>671</v>
      </c>
      <c r="B4" s="7" t="s">
        <v>672</v>
      </c>
      <c r="C4" s="7" t="s">
        <v>673</v>
      </c>
    </row>
    <row r="5" spans="1:3" x14ac:dyDescent="0.35">
      <c r="A5" s="7" t="s">
        <v>674</v>
      </c>
      <c r="B5" s="7" t="s">
        <v>675</v>
      </c>
      <c r="C5" s="7" t="s">
        <v>676</v>
      </c>
    </row>
    <row r="6" spans="1:3" x14ac:dyDescent="0.35">
      <c r="A6" s="7" t="s">
        <v>677</v>
      </c>
      <c r="B6" s="7" t="s">
        <v>678</v>
      </c>
      <c r="C6" s="7" t="s">
        <v>679</v>
      </c>
    </row>
    <row r="7" spans="1:3" x14ac:dyDescent="0.35">
      <c r="A7" s="7" t="s">
        <v>680</v>
      </c>
      <c r="B7" s="7" t="s">
        <v>681</v>
      </c>
      <c r="C7" s="7" t="s">
        <v>682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4"/>
  <sheetViews>
    <sheetView workbookViewId="0"/>
  </sheetViews>
  <sheetFormatPr defaultRowHeight="14.5" x14ac:dyDescent="0.35"/>
  <cols>
    <col min="1" max="1" width="48" customWidth="1"/>
    <col min="2" max="3" width="70" customWidth="1"/>
    <col min="4" max="4" width="18" customWidth="1"/>
    <col min="5" max="5" width="30" customWidth="1"/>
  </cols>
  <sheetData>
    <row r="1" spans="1:5" ht="20" x14ac:dyDescent="0.4">
      <c r="A1" s="4" t="s">
        <v>683</v>
      </c>
    </row>
    <row r="3" spans="1:5" ht="15.5" x14ac:dyDescent="0.35">
      <c r="A3" s="13" t="s">
        <v>684</v>
      </c>
    </row>
    <row r="4" spans="1:5" x14ac:dyDescent="0.35">
      <c r="A4" s="6" t="s">
        <v>18</v>
      </c>
      <c r="B4" s="6" t="s">
        <v>21</v>
      </c>
      <c r="C4" s="6" t="s">
        <v>685</v>
      </c>
    </row>
    <row r="5" spans="1:5" x14ac:dyDescent="0.35">
      <c r="A5" s="7" t="s">
        <v>28</v>
      </c>
      <c r="B5" s="7" t="s">
        <v>30</v>
      </c>
      <c r="C5" s="7" t="s">
        <v>33</v>
      </c>
    </row>
    <row r="6" spans="1:5" x14ac:dyDescent="0.35">
      <c r="A6" s="7" t="s">
        <v>35</v>
      </c>
      <c r="B6" s="7" t="s">
        <v>36</v>
      </c>
      <c r="C6" s="7" t="s">
        <v>37</v>
      </c>
    </row>
    <row r="7" spans="1:5" x14ac:dyDescent="0.35">
      <c r="A7" s="7" t="s">
        <v>38</v>
      </c>
      <c r="B7" s="7" t="s">
        <v>39</v>
      </c>
      <c r="C7" s="7" t="s">
        <v>40</v>
      </c>
    </row>
    <row r="8" spans="1:5" x14ac:dyDescent="0.35">
      <c r="A8" s="7" t="s">
        <v>41</v>
      </c>
      <c r="B8" s="7" t="s">
        <v>42</v>
      </c>
      <c r="C8" s="7" t="s">
        <v>43</v>
      </c>
    </row>
    <row r="9" spans="1:5" x14ac:dyDescent="0.35">
      <c r="A9" s="7" t="s">
        <v>44</v>
      </c>
      <c r="B9" s="7" t="s">
        <v>45</v>
      </c>
      <c r="C9" s="7" t="s">
        <v>46</v>
      </c>
    </row>
    <row r="11" spans="1:5" ht="15.5" x14ac:dyDescent="0.35">
      <c r="A11" s="13" t="s">
        <v>686</v>
      </c>
    </row>
    <row r="12" spans="1:5" x14ac:dyDescent="0.35">
      <c r="A12" s="6" t="s">
        <v>18</v>
      </c>
      <c r="B12" s="6" t="s">
        <v>429</v>
      </c>
      <c r="C12" s="6" t="s">
        <v>687</v>
      </c>
      <c r="D12" s="6" t="s">
        <v>688</v>
      </c>
      <c r="E12" s="6" t="s">
        <v>689</v>
      </c>
    </row>
    <row r="13" spans="1:5" ht="28" x14ac:dyDescent="0.35">
      <c r="A13" s="7" t="s">
        <v>47</v>
      </c>
      <c r="B13" s="7" t="s">
        <v>690</v>
      </c>
      <c r="C13" s="7" t="s">
        <v>691</v>
      </c>
      <c r="D13" s="7" t="s">
        <v>692</v>
      </c>
      <c r="E13" s="7" t="s">
        <v>693</v>
      </c>
    </row>
    <row r="14" spans="1:5" x14ac:dyDescent="0.35">
      <c r="A14" s="7" t="s">
        <v>52</v>
      </c>
      <c r="B14" s="7" t="s">
        <v>694</v>
      </c>
      <c r="C14" s="7" t="s">
        <v>695</v>
      </c>
      <c r="D14" s="7" t="s">
        <v>696</v>
      </c>
      <c r="E14" s="7" t="s">
        <v>639</v>
      </c>
    </row>
    <row r="15" spans="1:5" x14ac:dyDescent="0.35">
      <c r="A15" s="7" t="s">
        <v>55</v>
      </c>
      <c r="B15" s="7" t="s">
        <v>697</v>
      </c>
      <c r="C15" s="7" t="s">
        <v>698</v>
      </c>
      <c r="D15" s="7" t="s">
        <v>699</v>
      </c>
      <c r="E15" s="7" t="s">
        <v>639</v>
      </c>
    </row>
    <row r="16" spans="1:5" x14ac:dyDescent="0.35">
      <c r="A16" s="7" t="s">
        <v>57</v>
      </c>
      <c r="B16" s="7" t="s">
        <v>547</v>
      </c>
      <c r="C16" s="7" t="s">
        <v>700</v>
      </c>
      <c r="D16" s="7" t="s">
        <v>701</v>
      </c>
      <c r="E16" s="7" t="s">
        <v>639</v>
      </c>
    </row>
    <row r="17" spans="1:5" ht="42" x14ac:dyDescent="0.35">
      <c r="A17" s="7" t="s">
        <v>68</v>
      </c>
      <c r="B17" s="7" t="s">
        <v>702</v>
      </c>
      <c r="C17" s="7" t="s">
        <v>703</v>
      </c>
      <c r="D17" s="7" t="s">
        <v>704</v>
      </c>
      <c r="E17" s="7" t="s">
        <v>652</v>
      </c>
    </row>
    <row r="18" spans="1:5" ht="42" x14ac:dyDescent="0.35">
      <c r="A18" s="7" t="s">
        <v>70</v>
      </c>
      <c r="B18" s="7" t="s">
        <v>705</v>
      </c>
      <c r="C18" s="7" t="s">
        <v>706</v>
      </c>
      <c r="D18" s="7" t="s">
        <v>707</v>
      </c>
      <c r="E18" s="7" t="s">
        <v>652</v>
      </c>
    </row>
    <row r="19" spans="1:5" ht="56" x14ac:dyDescent="0.35">
      <c r="A19" s="7" t="s">
        <v>72</v>
      </c>
      <c r="B19" s="7" t="s">
        <v>708</v>
      </c>
      <c r="C19" s="7" t="s">
        <v>709</v>
      </c>
      <c r="D19" s="7" t="s">
        <v>710</v>
      </c>
      <c r="E19" s="7" t="s">
        <v>652</v>
      </c>
    </row>
    <row r="20" spans="1:5" ht="42" x14ac:dyDescent="0.35">
      <c r="A20" s="7" t="s">
        <v>74</v>
      </c>
      <c r="B20" s="7" t="s">
        <v>711</v>
      </c>
      <c r="C20" s="7" t="s">
        <v>712</v>
      </c>
      <c r="D20" s="7" t="s">
        <v>713</v>
      </c>
      <c r="E20" s="7" t="s">
        <v>652</v>
      </c>
    </row>
    <row r="21" spans="1:5" x14ac:dyDescent="0.35">
      <c r="A21" s="7" t="s">
        <v>59</v>
      </c>
      <c r="B21" s="7" t="s">
        <v>714</v>
      </c>
      <c r="C21" s="7" t="s">
        <v>715</v>
      </c>
      <c r="D21" s="7" t="s">
        <v>716</v>
      </c>
      <c r="E21" s="7" t="s">
        <v>639</v>
      </c>
    </row>
    <row r="22" spans="1:5" x14ac:dyDescent="0.35">
      <c r="A22" s="7" t="s">
        <v>61</v>
      </c>
      <c r="B22" s="7" t="s">
        <v>717</v>
      </c>
      <c r="C22" s="7" t="s">
        <v>718</v>
      </c>
      <c r="D22" s="7" t="s">
        <v>719</v>
      </c>
      <c r="E22" s="7" t="s">
        <v>661</v>
      </c>
    </row>
    <row r="23" spans="1:5" x14ac:dyDescent="0.35">
      <c r="A23" s="7" t="s">
        <v>64</v>
      </c>
      <c r="B23" s="7" t="s">
        <v>720</v>
      </c>
      <c r="C23" s="7" t="s">
        <v>721</v>
      </c>
      <c r="D23" s="7" t="s">
        <v>722</v>
      </c>
      <c r="E23" s="7" t="s">
        <v>639</v>
      </c>
    </row>
    <row r="24" spans="1:5" x14ac:dyDescent="0.35">
      <c r="A24" s="7" t="s">
        <v>66</v>
      </c>
      <c r="B24" s="7" t="s">
        <v>723</v>
      </c>
      <c r="C24" s="7" t="s">
        <v>724</v>
      </c>
      <c r="D24" s="7" t="s">
        <v>725</v>
      </c>
      <c r="E24" s="7" t="s">
        <v>639</v>
      </c>
    </row>
    <row r="26" spans="1:5" ht="15.5" x14ac:dyDescent="0.35">
      <c r="A26" s="13" t="s">
        <v>726</v>
      </c>
    </row>
    <row r="27" spans="1:5" x14ac:dyDescent="0.35">
      <c r="A27" s="6" t="s">
        <v>18</v>
      </c>
      <c r="B27" s="6" t="s">
        <v>727</v>
      </c>
      <c r="C27" s="6" t="s">
        <v>21</v>
      </c>
    </row>
    <row r="28" spans="1:5" x14ac:dyDescent="0.35">
      <c r="A28" s="7" t="s">
        <v>76</v>
      </c>
      <c r="B28" s="7" t="s">
        <v>728</v>
      </c>
      <c r="C28" s="7" t="s">
        <v>729</v>
      </c>
    </row>
    <row r="29" spans="1:5" x14ac:dyDescent="0.35">
      <c r="A29" s="7" t="s">
        <v>81</v>
      </c>
      <c r="B29" s="7" t="s">
        <v>556</v>
      </c>
      <c r="C29" s="7" t="s">
        <v>730</v>
      </c>
    </row>
    <row r="30" spans="1:5" ht="28" x14ac:dyDescent="0.35">
      <c r="A30" s="7" t="s">
        <v>83</v>
      </c>
      <c r="B30" s="7" t="s">
        <v>731</v>
      </c>
      <c r="C30" s="7" t="s">
        <v>732</v>
      </c>
    </row>
    <row r="31" spans="1:5" x14ac:dyDescent="0.35">
      <c r="A31" s="7" t="s">
        <v>85</v>
      </c>
      <c r="B31" s="7" t="s">
        <v>733</v>
      </c>
      <c r="C31" s="7" t="s">
        <v>734</v>
      </c>
    </row>
    <row r="32" spans="1:5" x14ac:dyDescent="0.35">
      <c r="A32" s="7" t="s">
        <v>87</v>
      </c>
      <c r="B32" s="7" t="s">
        <v>735</v>
      </c>
      <c r="C32" s="7" t="s">
        <v>736</v>
      </c>
    </row>
    <row r="33" spans="1:3" x14ac:dyDescent="0.35">
      <c r="A33" s="7" t="s">
        <v>89</v>
      </c>
      <c r="B33" s="7" t="s">
        <v>737</v>
      </c>
      <c r="C33" s="7" t="s">
        <v>738</v>
      </c>
    </row>
    <row r="34" spans="1:3" x14ac:dyDescent="0.35">
      <c r="A34" s="7" t="s">
        <v>91</v>
      </c>
      <c r="B34" s="7" t="s">
        <v>739</v>
      </c>
      <c r="C34" s="7" t="s">
        <v>740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
  <sheetViews>
    <sheetView workbookViewId="0"/>
  </sheetViews>
  <sheetFormatPr defaultRowHeight="14.5" x14ac:dyDescent="0.35"/>
  <cols>
    <col min="1" max="1" width="27" customWidth="1"/>
    <col min="2" max="2" width="16" customWidth="1"/>
    <col min="3" max="4" width="20" customWidth="1"/>
  </cols>
  <sheetData>
    <row r="1" spans="1:4" ht="20" x14ac:dyDescent="0.4">
      <c r="A1" s="4" t="s">
        <v>741</v>
      </c>
    </row>
    <row r="3" spans="1:4" x14ac:dyDescent="0.35">
      <c r="A3" s="6" t="s">
        <v>742</v>
      </c>
      <c r="B3" s="6" t="s">
        <v>743</v>
      </c>
      <c r="C3" s="6" t="s">
        <v>457</v>
      </c>
      <c r="D3" s="6" t="s">
        <v>744</v>
      </c>
    </row>
    <row r="4" spans="1:4" x14ac:dyDescent="0.35">
      <c r="A4" s="7" t="s">
        <v>745</v>
      </c>
      <c r="B4" s="7" t="s">
        <v>746</v>
      </c>
      <c r="C4" s="7" t="s">
        <v>747</v>
      </c>
      <c r="D4" s="7" t="s">
        <v>748</v>
      </c>
    </row>
    <row r="5" spans="1:4" x14ac:dyDescent="0.35">
      <c r="A5" s="7" t="s">
        <v>749</v>
      </c>
      <c r="B5" s="7" t="s">
        <v>746</v>
      </c>
      <c r="C5" s="7" t="s">
        <v>747</v>
      </c>
      <c r="D5" s="7" t="s">
        <v>750</v>
      </c>
    </row>
    <row r="6" spans="1:4" x14ac:dyDescent="0.35">
      <c r="A6" s="7" t="s">
        <v>751</v>
      </c>
      <c r="B6" s="7" t="s">
        <v>752</v>
      </c>
      <c r="C6" s="7" t="s">
        <v>753</v>
      </c>
      <c r="D6" s="7" t="s">
        <v>464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heetViews>
  <sheetFormatPr defaultRowHeight="14.5" x14ac:dyDescent="0.35"/>
  <cols>
    <col min="1" max="1" width="70" customWidth="1"/>
  </cols>
  <sheetData>
    <row r="1" spans="1:1" ht="20" x14ac:dyDescent="0.4">
      <c r="A1" s="4" t="s">
        <v>754</v>
      </c>
    </row>
    <row r="3" spans="1:1" x14ac:dyDescent="0.35">
      <c r="A3" s="12" t="s">
        <v>755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
  <sheetViews>
    <sheetView workbookViewId="0"/>
  </sheetViews>
  <sheetFormatPr defaultRowHeight="14.5" x14ac:dyDescent="0.35"/>
  <cols>
    <col min="1" max="1" width="70" customWidth="1"/>
    <col min="2" max="2" width="12" customWidth="1"/>
    <col min="3" max="3" width="8" customWidth="1"/>
    <col min="4" max="4" width="70" customWidth="1"/>
  </cols>
  <sheetData>
    <row r="1" spans="1:4" ht="20" x14ac:dyDescent="0.4">
      <c r="A1" s="4" t="s">
        <v>756</v>
      </c>
    </row>
    <row r="3" spans="1:4" x14ac:dyDescent="0.35">
      <c r="A3" s="6" t="s">
        <v>757</v>
      </c>
      <c r="B3" s="6" t="s">
        <v>758</v>
      </c>
      <c r="C3" s="6" t="s">
        <v>759</v>
      </c>
      <c r="D3" s="6" t="s">
        <v>760</v>
      </c>
    </row>
    <row r="4" spans="1:4" x14ac:dyDescent="0.35">
      <c r="A4" s="7" t="s">
        <v>761</v>
      </c>
      <c r="B4" s="7" t="s">
        <v>762</v>
      </c>
      <c r="C4" s="7" t="s">
        <v>762</v>
      </c>
      <c r="D4" s="7" t="s">
        <v>763</v>
      </c>
    </row>
    <row r="5" spans="1:4" x14ac:dyDescent="0.35">
      <c r="A5" s="7" t="s">
        <v>764</v>
      </c>
      <c r="B5" s="7" t="s">
        <v>762</v>
      </c>
      <c r="C5" s="7" t="s">
        <v>765</v>
      </c>
      <c r="D5" s="7" t="s">
        <v>766</v>
      </c>
    </row>
    <row r="6" spans="1:4" x14ac:dyDescent="0.35">
      <c r="A6" s="7" t="s">
        <v>767</v>
      </c>
      <c r="B6" s="7" t="s">
        <v>762</v>
      </c>
      <c r="C6" s="7" t="s">
        <v>762</v>
      </c>
      <c r="D6" s="7" t="s">
        <v>768</v>
      </c>
    </row>
    <row r="7" spans="1:4" ht="28" x14ac:dyDescent="0.35">
      <c r="A7" s="7" t="s">
        <v>769</v>
      </c>
      <c r="B7" s="7" t="s">
        <v>762</v>
      </c>
      <c r="C7" s="7" t="s">
        <v>770</v>
      </c>
      <c r="D7" s="7" t="s">
        <v>771</v>
      </c>
    </row>
    <row r="8" spans="1:4" ht="42" x14ac:dyDescent="0.35">
      <c r="A8" s="7" t="s">
        <v>772</v>
      </c>
      <c r="B8" s="7" t="s">
        <v>762</v>
      </c>
      <c r="C8" s="7" t="s">
        <v>762</v>
      </c>
      <c r="D8" s="7" t="s">
        <v>773</v>
      </c>
    </row>
    <row r="9" spans="1:4" ht="28" x14ac:dyDescent="0.35">
      <c r="A9" s="7" t="s">
        <v>774</v>
      </c>
      <c r="B9" s="7" t="s">
        <v>765</v>
      </c>
      <c r="C9" s="7" t="s">
        <v>770</v>
      </c>
      <c r="D9" s="7" t="s">
        <v>775</v>
      </c>
    </row>
    <row r="10" spans="1:4" x14ac:dyDescent="0.35">
      <c r="A10" s="7" t="s">
        <v>776</v>
      </c>
      <c r="B10" s="7" t="s">
        <v>765</v>
      </c>
      <c r="C10" s="7" t="s">
        <v>770</v>
      </c>
      <c r="D10" s="7" t="s">
        <v>777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5"/>
  <sheetViews>
    <sheetView workbookViewId="0"/>
  </sheetViews>
  <sheetFormatPr defaultRowHeight="14.5" x14ac:dyDescent="0.35"/>
  <cols>
    <col min="1" max="1" width="70" customWidth="1"/>
  </cols>
  <sheetData>
    <row r="1" spans="1:1" ht="20" x14ac:dyDescent="0.4">
      <c r="A1" s="4" t="s">
        <v>778</v>
      </c>
    </row>
    <row r="3" spans="1:1" x14ac:dyDescent="0.35">
      <c r="A3" s="12" t="s">
        <v>779</v>
      </c>
    </row>
    <row r="5" spans="1:1" x14ac:dyDescent="0.35">
      <c r="A5" s="7" t="s">
        <v>780</v>
      </c>
    </row>
    <row r="6" spans="1:1" x14ac:dyDescent="0.35">
      <c r="A6" s="7" t="s">
        <v>781</v>
      </c>
    </row>
    <row r="7" spans="1:1" x14ac:dyDescent="0.35">
      <c r="A7" s="7" t="s">
        <v>782</v>
      </c>
    </row>
    <row r="8" spans="1:1" x14ac:dyDescent="0.35">
      <c r="A8" s="7" t="s">
        <v>783</v>
      </c>
    </row>
    <row r="9" spans="1:1" x14ac:dyDescent="0.35">
      <c r="A9" s="7" t="s">
        <v>784</v>
      </c>
    </row>
    <row r="10" spans="1:1" x14ac:dyDescent="0.35">
      <c r="A10" s="7" t="s">
        <v>785</v>
      </c>
    </row>
    <row r="11" spans="1:1" ht="42" x14ac:dyDescent="0.35">
      <c r="A11" s="7" t="s">
        <v>786</v>
      </c>
    </row>
    <row r="12" spans="1:1" ht="28" x14ac:dyDescent="0.35">
      <c r="A12" s="7" t="s">
        <v>787</v>
      </c>
    </row>
    <row r="13" spans="1:1" ht="56" x14ac:dyDescent="0.35">
      <c r="A13" s="7" t="s">
        <v>788</v>
      </c>
    </row>
    <row r="14" spans="1:1" ht="70" x14ac:dyDescent="0.35">
      <c r="A14" s="7" t="s">
        <v>789</v>
      </c>
    </row>
    <row r="15" spans="1:1" ht="56" x14ac:dyDescent="0.35">
      <c r="A15" s="7" t="s">
        <v>790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workbookViewId="0"/>
  </sheetViews>
  <sheetFormatPr defaultRowHeight="14.5" x14ac:dyDescent="0.35"/>
  <cols>
    <col min="1" max="1" width="37" customWidth="1"/>
    <col min="2" max="3" width="70" customWidth="1"/>
    <col min="4" max="4" width="38" customWidth="1"/>
  </cols>
  <sheetData>
    <row r="1" spans="1:4" ht="20" x14ac:dyDescent="0.4">
      <c r="A1" s="4" t="s">
        <v>791</v>
      </c>
    </row>
    <row r="3" spans="1:4" ht="15.5" x14ac:dyDescent="0.35">
      <c r="A3" s="13" t="s">
        <v>792</v>
      </c>
    </row>
    <row r="4" spans="1:4" x14ac:dyDescent="0.35">
      <c r="A4" s="6" t="s">
        <v>466</v>
      </c>
      <c r="B4" s="6" t="s">
        <v>793</v>
      </c>
      <c r="C4" s="6" t="s">
        <v>794</v>
      </c>
      <c r="D4" s="6" t="s">
        <v>27</v>
      </c>
    </row>
    <row r="5" spans="1:4" ht="28" x14ac:dyDescent="0.35">
      <c r="A5" s="7" t="s">
        <v>795</v>
      </c>
      <c r="B5" s="7" t="s">
        <v>796</v>
      </c>
      <c r="C5" s="7" t="s">
        <v>797</v>
      </c>
      <c r="D5" s="7" t="s">
        <v>798</v>
      </c>
    </row>
    <row r="6" spans="1:4" ht="42" x14ac:dyDescent="0.35">
      <c r="A6" s="7" t="s">
        <v>799</v>
      </c>
      <c r="B6" s="7" t="s">
        <v>800</v>
      </c>
      <c r="C6" s="7" t="s">
        <v>801</v>
      </c>
      <c r="D6" s="7" t="s">
        <v>802</v>
      </c>
    </row>
    <row r="7" spans="1:4" x14ac:dyDescent="0.35">
      <c r="A7" s="7" t="s">
        <v>803</v>
      </c>
      <c r="B7" s="7" t="s">
        <v>804</v>
      </c>
      <c r="C7" s="7" t="s">
        <v>805</v>
      </c>
      <c r="D7" s="7" t="s">
        <v>806</v>
      </c>
    </row>
    <row r="8" spans="1:4" ht="28" x14ac:dyDescent="0.35">
      <c r="A8" s="7" t="s">
        <v>807</v>
      </c>
      <c r="B8" s="7" t="s">
        <v>808</v>
      </c>
      <c r="C8" s="7" t="s">
        <v>809</v>
      </c>
      <c r="D8" s="7" t="s">
        <v>806</v>
      </c>
    </row>
    <row r="9" spans="1:4" x14ac:dyDescent="0.35">
      <c r="A9" s="7" t="s">
        <v>810</v>
      </c>
      <c r="B9" s="7" t="s">
        <v>811</v>
      </c>
      <c r="C9" s="7" t="s">
        <v>812</v>
      </c>
      <c r="D9" s="7" t="s">
        <v>813</v>
      </c>
    </row>
    <row r="10" spans="1:4" x14ac:dyDescent="0.35">
      <c r="A10" s="7" t="s">
        <v>814</v>
      </c>
      <c r="B10" s="7" t="s">
        <v>815</v>
      </c>
      <c r="C10" s="7" t="s">
        <v>816</v>
      </c>
      <c r="D10" s="7" t="s">
        <v>817</v>
      </c>
    </row>
    <row r="11" spans="1:4" x14ac:dyDescent="0.35">
      <c r="A11" s="7" t="s">
        <v>818</v>
      </c>
      <c r="B11" s="7" t="s">
        <v>819</v>
      </c>
      <c r="C11" s="7" t="s">
        <v>820</v>
      </c>
      <c r="D11" s="7" t="s">
        <v>806</v>
      </c>
    </row>
    <row r="12" spans="1:4" x14ac:dyDescent="0.35">
      <c r="A12" s="7" t="s">
        <v>821</v>
      </c>
      <c r="B12" s="7" t="s">
        <v>822</v>
      </c>
      <c r="C12" s="7" t="s">
        <v>823</v>
      </c>
      <c r="D12" s="7" t="s">
        <v>824</v>
      </c>
    </row>
    <row r="13" spans="1:4" x14ac:dyDescent="0.35">
      <c r="A13" s="7" t="s">
        <v>825</v>
      </c>
      <c r="B13" s="7" t="s">
        <v>826</v>
      </c>
      <c r="C13" s="7" t="s">
        <v>827</v>
      </c>
      <c r="D13" s="7" t="s">
        <v>806</v>
      </c>
    </row>
    <row r="14" spans="1:4" x14ac:dyDescent="0.35">
      <c r="A14" s="7" t="s">
        <v>828</v>
      </c>
      <c r="B14" s="7" t="s">
        <v>829</v>
      </c>
      <c r="C14" s="7" t="s">
        <v>830</v>
      </c>
      <c r="D14" s="7" t="s">
        <v>824</v>
      </c>
    </row>
    <row r="15" spans="1:4" ht="42" x14ac:dyDescent="0.35">
      <c r="A15" s="7" t="s">
        <v>831</v>
      </c>
      <c r="B15" s="7" t="s">
        <v>832</v>
      </c>
      <c r="C15" s="7" t="s">
        <v>833</v>
      </c>
      <c r="D15" s="7" t="s">
        <v>802</v>
      </c>
    </row>
    <row r="16" spans="1:4" ht="42" x14ac:dyDescent="0.35">
      <c r="A16" s="7" t="s">
        <v>834</v>
      </c>
      <c r="B16" s="7" t="s">
        <v>835</v>
      </c>
      <c r="C16" s="7" t="s">
        <v>836</v>
      </c>
      <c r="D16" s="7" t="s">
        <v>837</v>
      </c>
    </row>
    <row r="17" spans="1:4" ht="28" x14ac:dyDescent="0.35">
      <c r="A17" s="7" t="s">
        <v>838</v>
      </c>
      <c r="B17" s="7" t="s">
        <v>839</v>
      </c>
      <c r="C17" s="7" t="s">
        <v>840</v>
      </c>
      <c r="D17" s="7" t="s">
        <v>802</v>
      </c>
    </row>
    <row r="18" spans="1:4" ht="42" x14ac:dyDescent="0.35">
      <c r="A18" s="7" t="s">
        <v>841</v>
      </c>
      <c r="B18" s="7" t="s">
        <v>842</v>
      </c>
      <c r="C18" s="7" t="s">
        <v>843</v>
      </c>
      <c r="D18" s="7" t="s">
        <v>844</v>
      </c>
    </row>
    <row r="19" spans="1:4" ht="28" x14ac:dyDescent="0.35">
      <c r="A19" s="7" t="s">
        <v>845</v>
      </c>
      <c r="B19" s="7" t="s">
        <v>846</v>
      </c>
      <c r="C19" s="7" t="s">
        <v>847</v>
      </c>
      <c r="D19" s="7" t="s">
        <v>848</v>
      </c>
    </row>
    <row r="20" spans="1:4" ht="42" x14ac:dyDescent="0.35">
      <c r="A20" s="7" t="s">
        <v>849</v>
      </c>
      <c r="B20" s="7" t="s">
        <v>850</v>
      </c>
      <c r="C20" s="7" t="s">
        <v>851</v>
      </c>
      <c r="D20" s="7" t="s">
        <v>848</v>
      </c>
    </row>
    <row r="21" spans="1:4" ht="28" x14ac:dyDescent="0.35">
      <c r="A21" s="7" t="s">
        <v>852</v>
      </c>
      <c r="B21" s="7" t="s">
        <v>853</v>
      </c>
      <c r="C21" s="7" t="s">
        <v>854</v>
      </c>
      <c r="D21" s="7" t="s">
        <v>848</v>
      </c>
    </row>
    <row r="22" spans="1:4" ht="28" x14ac:dyDescent="0.35">
      <c r="A22" s="7" t="s">
        <v>855</v>
      </c>
      <c r="B22" s="7" t="s">
        <v>856</v>
      </c>
      <c r="C22" s="7" t="s">
        <v>857</v>
      </c>
      <c r="D22" s="7" t="s">
        <v>848</v>
      </c>
    </row>
    <row r="23" spans="1:4" ht="42" x14ac:dyDescent="0.35">
      <c r="A23" s="7" t="s">
        <v>858</v>
      </c>
      <c r="B23" s="7" t="s">
        <v>859</v>
      </c>
      <c r="C23" s="7" t="s">
        <v>860</v>
      </c>
      <c r="D23" s="7" t="s">
        <v>848</v>
      </c>
    </row>
    <row r="24" spans="1:4" ht="42" x14ac:dyDescent="0.35">
      <c r="A24" s="7" t="s">
        <v>861</v>
      </c>
      <c r="B24" s="7" t="s">
        <v>862</v>
      </c>
      <c r="C24" s="7" t="s">
        <v>863</v>
      </c>
      <c r="D24" s="7" t="s">
        <v>848</v>
      </c>
    </row>
    <row r="25" spans="1:4" x14ac:dyDescent="0.35">
      <c r="A25" s="7" t="s">
        <v>864</v>
      </c>
      <c r="B25" s="7" t="s">
        <v>865</v>
      </c>
      <c r="C25" s="7" t="s">
        <v>866</v>
      </c>
      <c r="D25" s="7" t="s">
        <v>848</v>
      </c>
    </row>
    <row r="26" spans="1:4" ht="28" x14ac:dyDescent="0.35">
      <c r="A26" s="7" t="s">
        <v>867</v>
      </c>
      <c r="B26" s="7" t="s">
        <v>868</v>
      </c>
      <c r="C26" s="7" t="s">
        <v>869</v>
      </c>
      <c r="D26" s="7" t="s">
        <v>870</v>
      </c>
    </row>
    <row r="27" spans="1:4" ht="28" x14ac:dyDescent="0.35">
      <c r="A27" s="7" t="s">
        <v>871</v>
      </c>
      <c r="B27" s="7" t="s">
        <v>872</v>
      </c>
      <c r="C27" s="7" t="s">
        <v>873</v>
      </c>
      <c r="D27" s="7" t="s">
        <v>848</v>
      </c>
    </row>
    <row r="28" spans="1:4" ht="28" x14ac:dyDescent="0.35">
      <c r="A28" s="7" t="s">
        <v>874</v>
      </c>
      <c r="B28" s="7" t="s">
        <v>875</v>
      </c>
      <c r="C28" s="7" t="s">
        <v>876</v>
      </c>
      <c r="D28" s="7" t="s">
        <v>877</v>
      </c>
    </row>
    <row r="29" spans="1:4" ht="28" x14ac:dyDescent="0.35">
      <c r="A29" s="7" t="s">
        <v>878</v>
      </c>
      <c r="B29" s="7" t="s">
        <v>879</v>
      </c>
      <c r="C29" s="7" t="s">
        <v>880</v>
      </c>
      <c r="D29" s="7" t="s">
        <v>848</v>
      </c>
    </row>
    <row r="31" spans="1:4" ht="15.5" x14ac:dyDescent="0.35">
      <c r="A31" s="13" t="s">
        <v>881</v>
      </c>
    </row>
    <row r="32" spans="1:4" x14ac:dyDescent="0.35">
      <c r="A32" s="6" t="s">
        <v>466</v>
      </c>
      <c r="B32" s="6" t="s">
        <v>882</v>
      </c>
      <c r="C32" s="6" t="s">
        <v>24</v>
      </c>
      <c r="D32" s="6" t="s">
        <v>883</v>
      </c>
    </row>
    <row r="33" spans="1:4" x14ac:dyDescent="0.35">
      <c r="A33" s="7" t="s">
        <v>884</v>
      </c>
      <c r="B33" s="7" t="s">
        <v>885</v>
      </c>
      <c r="C33" s="7" t="s">
        <v>886</v>
      </c>
      <c r="D33" s="7" t="s">
        <v>464</v>
      </c>
    </row>
    <row r="34" spans="1:4" ht="28" x14ac:dyDescent="0.35">
      <c r="A34" s="7" t="s">
        <v>887</v>
      </c>
      <c r="B34" s="7" t="s">
        <v>888</v>
      </c>
      <c r="C34" s="7" t="s">
        <v>886</v>
      </c>
      <c r="D34" s="7" t="s">
        <v>889</v>
      </c>
    </row>
    <row r="35" spans="1:4" ht="28" x14ac:dyDescent="0.35">
      <c r="A35" s="7" t="s">
        <v>890</v>
      </c>
      <c r="B35" s="7" t="s">
        <v>891</v>
      </c>
      <c r="C35" s="7" t="s">
        <v>886</v>
      </c>
      <c r="D35" s="7" t="s">
        <v>892</v>
      </c>
    </row>
    <row r="36" spans="1:4" ht="28" x14ac:dyDescent="0.35">
      <c r="A36" s="7" t="s">
        <v>893</v>
      </c>
      <c r="B36" s="7" t="s">
        <v>894</v>
      </c>
      <c r="C36" s="7" t="s">
        <v>886</v>
      </c>
      <c r="D36" s="7" t="s">
        <v>895</v>
      </c>
    </row>
    <row r="37" spans="1:4" x14ac:dyDescent="0.35">
      <c r="A37" s="7" t="s">
        <v>896</v>
      </c>
      <c r="B37" s="7" t="s">
        <v>897</v>
      </c>
      <c r="C37" s="7" t="s">
        <v>886</v>
      </c>
      <c r="D37" s="7" t="s">
        <v>898</v>
      </c>
    </row>
    <row r="38" spans="1:4" x14ac:dyDescent="0.35">
      <c r="A38" s="7" t="s">
        <v>899</v>
      </c>
      <c r="B38" s="7" t="s">
        <v>900</v>
      </c>
      <c r="C38" s="7" t="s">
        <v>886</v>
      </c>
      <c r="D38" s="7" t="s">
        <v>901</v>
      </c>
    </row>
    <row r="39" spans="1:4" x14ac:dyDescent="0.35">
      <c r="A39" s="7" t="s">
        <v>902</v>
      </c>
      <c r="B39" s="7" t="s">
        <v>903</v>
      </c>
      <c r="C39" s="7" t="s">
        <v>886</v>
      </c>
      <c r="D39" s="7" t="s">
        <v>904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8"/>
  <sheetViews>
    <sheetView workbookViewId="0"/>
  </sheetViews>
  <sheetFormatPr defaultRowHeight="14.5" x14ac:dyDescent="0.35"/>
  <cols>
    <col min="1" max="1" width="23" customWidth="1"/>
    <col min="2" max="2" width="57" customWidth="1"/>
    <col min="3" max="3" width="70" customWidth="1"/>
    <col min="4" max="4" width="16" customWidth="1"/>
  </cols>
  <sheetData>
    <row r="1" spans="1:4" ht="20" x14ac:dyDescent="0.4">
      <c r="A1" s="4" t="s">
        <v>905</v>
      </c>
    </row>
    <row r="3" spans="1:4" x14ac:dyDescent="0.35">
      <c r="A3" s="6" t="s">
        <v>906</v>
      </c>
      <c r="B3" s="6" t="s">
        <v>907</v>
      </c>
      <c r="C3" s="6" t="s">
        <v>908</v>
      </c>
      <c r="D3" s="6" t="s">
        <v>909</v>
      </c>
    </row>
    <row r="4" spans="1:4" x14ac:dyDescent="0.35">
      <c r="A4" s="7" t="s">
        <v>910</v>
      </c>
      <c r="B4" s="7" t="s">
        <v>911</v>
      </c>
      <c r="C4" s="7" t="s">
        <v>912</v>
      </c>
      <c r="D4" s="7" t="s">
        <v>913</v>
      </c>
    </row>
    <row r="5" spans="1:4" ht="28" x14ac:dyDescent="0.35">
      <c r="A5" s="7" t="s">
        <v>914</v>
      </c>
      <c r="B5" s="7" t="s">
        <v>915</v>
      </c>
      <c r="C5" s="7" t="s">
        <v>691</v>
      </c>
      <c r="D5" s="7" t="s">
        <v>692</v>
      </c>
    </row>
    <row r="6" spans="1:4" ht="28" x14ac:dyDescent="0.35">
      <c r="A6" s="7" t="s">
        <v>631</v>
      </c>
      <c r="B6" s="7" t="s">
        <v>916</v>
      </c>
      <c r="C6" s="7" t="s">
        <v>917</v>
      </c>
      <c r="D6" s="7" t="s">
        <v>707</v>
      </c>
    </row>
    <row r="7" spans="1:4" x14ac:dyDescent="0.35">
      <c r="A7" s="7" t="s">
        <v>918</v>
      </c>
      <c r="B7" s="7" t="s">
        <v>919</v>
      </c>
      <c r="C7" s="7" t="s">
        <v>920</v>
      </c>
      <c r="D7" s="7" t="s">
        <v>696</v>
      </c>
    </row>
    <row r="8" spans="1:4" x14ac:dyDescent="0.35">
      <c r="A8" s="7" t="s">
        <v>544</v>
      </c>
      <c r="B8" s="7" t="s">
        <v>921</v>
      </c>
      <c r="C8" s="7" t="s">
        <v>922</v>
      </c>
      <c r="D8" s="7" t="s">
        <v>699</v>
      </c>
    </row>
    <row r="9" spans="1:4" x14ac:dyDescent="0.35">
      <c r="A9" s="7" t="s">
        <v>923</v>
      </c>
      <c r="B9" s="7" t="s">
        <v>583</v>
      </c>
      <c r="C9" s="7" t="s">
        <v>924</v>
      </c>
      <c r="D9" s="7" t="s">
        <v>699</v>
      </c>
    </row>
    <row r="10" spans="1:4" ht="28" x14ac:dyDescent="0.35">
      <c r="A10" s="7" t="s">
        <v>925</v>
      </c>
      <c r="B10" s="7" t="s">
        <v>926</v>
      </c>
      <c r="C10" s="7" t="s">
        <v>927</v>
      </c>
      <c r="D10" s="7" t="s">
        <v>928</v>
      </c>
    </row>
    <row r="11" spans="1:4" ht="28" x14ac:dyDescent="0.35">
      <c r="A11" s="7" t="s">
        <v>929</v>
      </c>
      <c r="B11" s="7" t="s">
        <v>930</v>
      </c>
      <c r="C11" s="7" t="s">
        <v>931</v>
      </c>
      <c r="D11" s="7" t="s">
        <v>932</v>
      </c>
    </row>
    <row r="12" spans="1:4" x14ac:dyDescent="0.35">
      <c r="A12" s="7" t="s">
        <v>547</v>
      </c>
      <c r="B12" s="7" t="s">
        <v>933</v>
      </c>
      <c r="C12" s="7" t="s">
        <v>934</v>
      </c>
      <c r="D12" s="7" t="s">
        <v>701</v>
      </c>
    </row>
    <row r="13" spans="1:4" ht="28" x14ac:dyDescent="0.35">
      <c r="A13" s="7" t="s">
        <v>627</v>
      </c>
      <c r="B13" s="7" t="s">
        <v>935</v>
      </c>
      <c r="C13" s="7" t="s">
        <v>936</v>
      </c>
      <c r="D13" s="7" t="s">
        <v>713</v>
      </c>
    </row>
    <row r="14" spans="1:4" ht="28" x14ac:dyDescent="0.35">
      <c r="A14" s="7" t="s">
        <v>937</v>
      </c>
      <c r="B14" s="7" t="s">
        <v>938</v>
      </c>
      <c r="C14" s="7" t="s">
        <v>939</v>
      </c>
      <c r="D14" s="7" t="s">
        <v>704</v>
      </c>
    </row>
    <row r="15" spans="1:4" x14ac:dyDescent="0.35">
      <c r="A15" s="7" t="s">
        <v>602</v>
      </c>
      <c r="B15" s="7" t="s">
        <v>603</v>
      </c>
      <c r="C15" s="7" t="s">
        <v>940</v>
      </c>
      <c r="D15" s="7" t="s">
        <v>716</v>
      </c>
    </row>
    <row r="16" spans="1:4" x14ac:dyDescent="0.35">
      <c r="A16" s="7" t="s">
        <v>559</v>
      </c>
      <c r="B16" s="7" t="s">
        <v>464</v>
      </c>
      <c r="C16" s="7" t="s">
        <v>941</v>
      </c>
      <c r="D16" s="7" t="s">
        <v>719</v>
      </c>
    </row>
    <row r="17" spans="1:4" x14ac:dyDescent="0.35">
      <c r="A17" s="7" t="s">
        <v>942</v>
      </c>
      <c r="B17" s="7" t="s">
        <v>943</v>
      </c>
      <c r="C17" s="7" t="s">
        <v>944</v>
      </c>
      <c r="D17" s="7" t="s">
        <v>725</v>
      </c>
    </row>
    <row r="18" spans="1:4" x14ac:dyDescent="0.35">
      <c r="A18" s="7" t="s">
        <v>611</v>
      </c>
      <c r="B18" s="7" t="s">
        <v>945</v>
      </c>
      <c r="C18" s="7" t="s">
        <v>946</v>
      </c>
      <c r="D18" s="7" t="s">
        <v>725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80"/>
  <sheetViews>
    <sheetView workbookViewId="0"/>
  </sheetViews>
  <sheetFormatPr defaultRowHeight="14.5" x14ac:dyDescent="0.35"/>
  <cols>
    <col min="1" max="2" width="70" customWidth="1"/>
    <col min="3" max="3" width="25" customWidth="1"/>
  </cols>
  <sheetData>
    <row r="1" spans="1:3" ht="20" x14ac:dyDescent="0.4">
      <c r="A1" s="4" t="s">
        <v>947</v>
      </c>
    </row>
    <row r="3" spans="1:3" ht="15.5" x14ac:dyDescent="0.35">
      <c r="A3" s="13" t="s">
        <v>948</v>
      </c>
    </row>
    <row r="4" spans="1:3" x14ac:dyDescent="0.35">
      <c r="A4" s="6" t="s">
        <v>18</v>
      </c>
      <c r="B4" s="6" t="s">
        <v>21</v>
      </c>
      <c r="C4" s="6" t="s">
        <v>22</v>
      </c>
    </row>
    <row r="5" spans="1:3" ht="28" x14ac:dyDescent="0.35">
      <c r="A5" s="7" t="s">
        <v>93</v>
      </c>
      <c r="B5" s="7" t="s">
        <v>95</v>
      </c>
      <c r="C5" s="7" t="s">
        <v>949</v>
      </c>
    </row>
    <row r="6" spans="1:3" ht="28" x14ac:dyDescent="0.35">
      <c r="A6" s="7" t="s">
        <v>98</v>
      </c>
      <c r="B6" s="7" t="s">
        <v>99</v>
      </c>
      <c r="C6" s="7" t="s">
        <v>950</v>
      </c>
    </row>
    <row r="7" spans="1:3" ht="28" x14ac:dyDescent="0.35">
      <c r="A7" s="7" t="s">
        <v>100</v>
      </c>
      <c r="B7" s="7" t="s">
        <v>101</v>
      </c>
      <c r="C7" s="7" t="s">
        <v>639</v>
      </c>
    </row>
    <row r="8" spans="1:3" x14ac:dyDescent="0.35">
      <c r="A8" s="7" t="s">
        <v>102</v>
      </c>
      <c r="B8" s="7" t="s">
        <v>103</v>
      </c>
      <c r="C8" s="7" t="s">
        <v>639</v>
      </c>
    </row>
    <row r="9" spans="1:3" ht="28" x14ac:dyDescent="0.35">
      <c r="A9" s="7" t="s">
        <v>104</v>
      </c>
      <c r="B9" s="7" t="s">
        <v>105</v>
      </c>
      <c r="C9" s="7" t="s">
        <v>639</v>
      </c>
    </row>
    <row r="10" spans="1:3" x14ac:dyDescent="0.35">
      <c r="A10" s="7" t="s">
        <v>106</v>
      </c>
      <c r="B10" s="7" t="s">
        <v>107</v>
      </c>
      <c r="C10" s="7" t="s">
        <v>950</v>
      </c>
    </row>
    <row r="12" spans="1:3" ht="15.5" x14ac:dyDescent="0.35">
      <c r="A12" s="13" t="s">
        <v>951</v>
      </c>
    </row>
    <row r="13" spans="1:3" x14ac:dyDescent="0.35">
      <c r="A13" s="6" t="s">
        <v>18</v>
      </c>
      <c r="B13" s="6" t="s">
        <v>21</v>
      </c>
      <c r="C13" s="6" t="s">
        <v>22</v>
      </c>
    </row>
    <row r="14" spans="1:3" ht="42" x14ac:dyDescent="0.35">
      <c r="A14" s="7" t="s">
        <v>108</v>
      </c>
      <c r="B14" s="7" t="s">
        <v>109</v>
      </c>
      <c r="C14" s="7" t="s">
        <v>652</v>
      </c>
    </row>
    <row r="15" spans="1:3" ht="56" x14ac:dyDescent="0.35">
      <c r="A15" s="7" t="s">
        <v>110</v>
      </c>
      <c r="B15" s="7" t="s">
        <v>111</v>
      </c>
      <c r="C15" s="7" t="s">
        <v>652</v>
      </c>
    </row>
    <row r="16" spans="1:3" ht="28" x14ac:dyDescent="0.35">
      <c r="A16" s="7" t="s">
        <v>112</v>
      </c>
      <c r="B16" s="7" t="s">
        <v>113</v>
      </c>
      <c r="C16" s="7" t="s">
        <v>652</v>
      </c>
    </row>
    <row r="17" spans="1:3" ht="28" x14ac:dyDescent="0.35">
      <c r="A17" s="7" t="s">
        <v>114</v>
      </c>
      <c r="B17" s="7" t="s">
        <v>115</v>
      </c>
      <c r="C17" s="7" t="s">
        <v>652</v>
      </c>
    </row>
    <row r="18" spans="1:3" ht="28" x14ac:dyDescent="0.35">
      <c r="A18" s="7" t="s">
        <v>116</v>
      </c>
      <c r="B18" s="7" t="s">
        <v>117</v>
      </c>
      <c r="C18" s="7" t="s">
        <v>652</v>
      </c>
    </row>
    <row r="19" spans="1:3" ht="42" x14ac:dyDescent="0.35">
      <c r="A19" s="7" t="s">
        <v>118</v>
      </c>
      <c r="B19" s="7" t="s">
        <v>119</v>
      </c>
      <c r="C19" s="7" t="s">
        <v>652</v>
      </c>
    </row>
    <row r="20" spans="1:3" ht="42" x14ac:dyDescent="0.35">
      <c r="A20" s="7" t="s">
        <v>120</v>
      </c>
      <c r="B20" s="7" t="s">
        <v>121</v>
      </c>
      <c r="C20" s="7" t="s">
        <v>652</v>
      </c>
    </row>
    <row r="22" spans="1:3" ht="15.5" x14ac:dyDescent="0.35">
      <c r="A22" s="13" t="s">
        <v>952</v>
      </c>
    </row>
    <row r="23" spans="1:3" ht="28" x14ac:dyDescent="0.35">
      <c r="A23" s="7" t="s">
        <v>953</v>
      </c>
    </row>
    <row r="24" spans="1:3" ht="42" x14ac:dyDescent="0.35">
      <c r="A24" s="7" t="s">
        <v>954</v>
      </c>
    </row>
    <row r="25" spans="1:3" ht="28" x14ac:dyDescent="0.35">
      <c r="A25" s="7" t="s">
        <v>955</v>
      </c>
    </row>
    <row r="26" spans="1:3" ht="28" x14ac:dyDescent="0.35">
      <c r="A26" s="7" t="s">
        <v>956</v>
      </c>
    </row>
    <row r="27" spans="1:3" ht="42" x14ac:dyDescent="0.35">
      <c r="A27" s="7" t="s">
        <v>957</v>
      </c>
    </row>
    <row r="29" spans="1:3" ht="15.5" x14ac:dyDescent="0.35">
      <c r="A29" s="13" t="s">
        <v>958</v>
      </c>
    </row>
    <row r="30" spans="1:3" ht="42" x14ac:dyDescent="0.35">
      <c r="A30" s="7" t="s">
        <v>959</v>
      </c>
    </row>
    <row r="31" spans="1:3" ht="28" x14ac:dyDescent="0.35">
      <c r="A31" s="7" t="s">
        <v>960</v>
      </c>
    </row>
    <row r="33" spans="1:3" ht="15.5" x14ac:dyDescent="0.35">
      <c r="A33" s="13" t="s">
        <v>961</v>
      </c>
    </row>
    <row r="34" spans="1:3" ht="28" x14ac:dyDescent="0.35">
      <c r="A34" s="7" t="s">
        <v>962</v>
      </c>
    </row>
    <row r="36" spans="1:3" ht="15.5" x14ac:dyDescent="0.35">
      <c r="A36" s="13" t="s">
        <v>963</v>
      </c>
    </row>
    <row r="37" spans="1:3" x14ac:dyDescent="0.35">
      <c r="A37" s="6" t="s">
        <v>18</v>
      </c>
      <c r="B37" s="6" t="s">
        <v>21</v>
      </c>
      <c r="C37" s="6" t="s">
        <v>22</v>
      </c>
    </row>
    <row r="38" spans="1:3" ht="42" x14ac:dyDescent="0.35">
      <c r="A38" s="7" t="s">
        <v>122</v>
      </c>
      <c r="B38" s="7" t="s">
        <v>123</v>
      </c>
      <c r="C38" s="7" t="s">
        <v>639</v>
      </c>
    </row>
    <row r="39" spans="1:3" ht="28" x14ac:dyDescent="0.35">
      <c r="A39" s="7" t="s">
        <v>124</v>
      </c>
      <c r="B39" s="7" t="s">
        <v>125</v>
      </c>
      <c r="C39" s="7" t="s">
        <v>950</v>
      </c>
    </row>
    <row r="40" spans="1:3" x14ac:dyDescent="0.35">
      <c r="A40" s="7" t="s">
        <v>126</v>
      </c>
      <c r="B40" s="7" t="s">
        <v>127</v>
      </c>
      <c r="C40" s="7" t="s">
        <v>639</v>
      </c>
    </row>
    <row r="41" spans="1:3" ht="28" x14ac:dyDescent="0.35">
      <c r="A41" s="7" t="s">
        <v>128</v>
      </c>
      <c r="B41" s="7" t="s">
        <v>129</v>
      </c>
      <c r="C41" s="7" t="s">
        <v>639</v>
      </c>
    </row>
    <row r="42" spans="1:3" x14ac:dyDescent="0.35">
      <c r="A42" s="7" t="s">
        <v>130</v>
      </c>
      <c r="B42" s="7" t="s">
        <v>131</v>
      </c>
      <c r="C42" s="7" t="s">
        <v>639</v>
      </c>
    </row>
    <row r="43" spans="1:3" ht="28" x14ac:dyDescent="0.35">
      <c r="A43" s="7" t="s">
        <v>132</v>
      </c>
      <c r="B43" s="7" t="s">
        <v>133</v>
      </c>
      <c r="C43" s="7" t="s">
        <v>639</v>
      </c>
    </row>
    <row r="44" spans="1:3" ht="28" x14ac:dyDescent="0.35">
      <c r="A44" s="7" t="s">
        <v>134</v>
      </c>
      <c r="B44" s="7" t="s">
        <v>135</v>
      </c>
      <c r="C44" s="7" t="s">
        <v>950</v>
      </c>
    </row>
    <row r="45" spans="1:3" ht="28" x14ac:dyDescent="0.35">
      <c r="A45" s="7" t="s">
        <v>136</v>
      </c>
      <c r="B45" s="7" t="s">
        <v>137</v>
      </c>
      <c r="C45" s="7" t="s">
        <v>639</v>
      </c>
    </row>
    <row r="46" spans="1:3" ht="28" x14ac:dyDescent="0.35">
      <c r="A46" s="7" t="s">
        <v>138</v>
      </c>
      <c r="B46" s="7" t="s">
        <v>139</v>
      </c>
      <c r="C46" s="7" t="s">
        <v>639</v>
      </c>
    </row>
    <row r="48" spans="1:3" ht="15.5" x14ac:dyDescent="0.35">
      <c r="A48" s="13" t="s">
        <v>964</v>
      </c>
    </row>
    <row r="49" spans="1:3" ht="28" x14ac:dyDescent="0.35">
      <c r="A49" s="7" t="s">
        <v>965</v>
      </c>
    </row>
    <row r="51" spans="1:3" ht="15.5" x14ac:dyDescent="0.35">
      <c r="A51" s="13" t="s">
        <v>966</v>
      </c>
    </row>
    <row r="52" spans="1:3" ht="28" x14ac:dyDescent="0.35">
      <c r="A52" s="7" t="s">
        <v>967</v>
      </c>
    </row>
    <row r="54" spans="1:3" ht="15.5" x14ac:dyDescent="0.35">
      <c r="A54" s="13" t="s">
        <v>968</v>
      </c>
    </row>
    <row r="55" spans="1:3" x14ac:dyDescent="0.35">
      <c r="A55" s="6" t="s">
        <v>18</v>
      </c>
      <c r="B55" s="6" t="s">
        <v>21</v>
      </c>
      <c r="C55" s="6" t="s">
        <v>22</v>
      </c>
    </row>
    <row r="56" spans="1:3" ht="28" x14ac:dyDescent="0.35">
      <c r="A56" s="7" t="s">
        <v>140</v>
      </c>
      <c r="B56" s="7" t="s">
        <v>141</v>
      </c>
      <c r="C56" s="7" t="s">
        <v>639</v>
      </c>
    </row>
    <row r="57" spans="1:3" x14ac:dyDescent="0.35">
      <c r="A57" s="7" t="s">
        <v>142</v>
      </c>
      <c r="B57" s="7" t="s">
        <v>143</v>
      </c>
      <c r="C57" s="7" t="s">
        <v>950</v>
      </c>
    </row>
    <row r="58" spans="1:3" x14ac:dyDescent="0.35">
      <c r="A58" s="7" t="s">
        <v>144</v>
      </c>
      <c r="B58" s="7" t="s">
        <v>145</v>
      </c>
      <c r="C58" s="7" t="s">
        <v>639</v>
      </c>
    </row>
    <row r="59" spans="1:3" ht="28" x14ac:dyDescent="0.35">
      <c r="A59" s="7" t="s">
        <v>146</v>
      </c>
      <c r="B59" s="7" t="s">
        <v>147</v>
      </c>
      <c r="C59" s="7" t="s">
        <v>639</v>
      </c>
    </row>
    <row r="60" spans="1:3" ht="28" x14ac:dyDescent="0.35">
      <c r="A60" s="7" t="s">
        <v>148</v>
      </c>
      <c r="B60" s="7" t="s">
        <v>149</v>
      </c>
      <c r="C60" s="7" t="s">
        <v>639</v>
      </c>
    </row>
    <row r="61" spans="1:3" x14ac:dyDescent="0.35">
      <c r="A61" s="7" t="s">
        <v>150</v>
      </c>
      <c r="B61" s="7" t="s">
        <v>151</v>
      </c>
      <c r="C61" s="7" t="s">
        <v>639</v>
      </c>
    </row>
    <row r="62" spans="1:3" ht="28" x14ac:dyDescent="0.35">
      <c r="A62" s="7" t="s">
        <v>152</v>
      </c>
      <c r="B62" s="7" t="s">
        <v>153</v>
      </c>
      <c r="C62" s="7" t="s">
        <v>639</v>
      </c>
    </row>
    <row r="63" spans="1:3" x14ac:dyDescent="0.35">
      <c r="A63" s="7" t="s">
        <v>154</v>
      </c>
      <c r="B63" s="7" t="s">
        <v>155</v>
      </c>
      <c r="C63" s="7" t="s">
        <v>950</v>
      </c>
    </row>
    <row r="65" spans="1:2" ht="15.5" x14ac:dyDescent="0.35">
      <c r="A65" s="13" t="s">
        <v>969</v>
      </c>
    </row>
    <row r="66" spans="1:2" x14ac:dyDescent="0.35">
      <c r="A66" s="6" t="s">
        <v>18</v>
      </c>
      <c r="B66" s="6" t="s">
        <v>970</v>
      </c>
    </row>
    <row r="67" spans="1:2" ht="28" x14ac:dyDescent="0.35">
      <c r="A67" s="7" t="s">
        <v>342</v>
      </c>
      <c r="B67" s="7" t="s">
        <v>344</v>
      </c>
    </row>
    <row r="68" spans="1:2" ht="28" x14ac:dyDescent="0.35">
      <c r="A68" s="7" t="s">
        <v>345</v>
      </c>
      <c r="B68" s="7" t="s">
        <v>346</v>
      </c>
    </row>
    <row r="69" spans="1:2" x14ac:dyDescent="0.35">
      <c r="A69" s="7" t="s">
        <v>347</v>
      </c>
      <c r="B69" s="7" t="s">
        <v>348</v>
      </c>
    </row>
    <row r="70" spans="1:2" ht="28" x14ac:dyDescent="0.35">
      <c r="A70" s="7" t="s">
        <v>349</v>
      </c>
      <c r="B70" s="7" t="s">
        <v>350</v>
      </c>
    </row>
    <row r="71" spans="1:2" ht="28" x14ac:dyDescent="0.35">
      <c r="A71" s="7" t="s">
        <v>351</v>
      </c>
      <c r="B71" s="7" t="s">
        <v>352</v>
      </c>
    </row>
    <row r="72" spans="1:2" x14ac:dyDescent="0.35">
      <c r="A72" s="7" t="s">
        <v>353</v>
      </c>
      <c r="B72" s="7" t="s">
        <v>354</v>
      </c>
    </row>
    <row r="74" spans="1:2" ht="15.5" x14ac:dyDescent="0.35">
      <c r="A74" s="13" t="s">
        <v>971</v>
      </c>
    </row>
    <row r="75" spans="1:2" ht="28" x14ac:dyDescent="0.35">
      <c r="A75" s="7" t="s">
        <v>972</v>
      </c>
    </row>
    <row r="76" spans="1:2" ht="28" x14ac:dyDescent="0.35">
      <c r="A76" s="7" t="s">
        <v>973</v>
      </c>
    </row>
    <row r="77" spans="1:2" ht="28" x14ac:dyDescent="0.35">
      <c r="A77" s="7" t="s">
        <v>974</v>
      </c>
    </row>
    <row r="78" spans="1:2" ht="28" x14ac:dyDescent="0.35">
      <c r="A78" s="7" t="s">
        <v>975</v>
      </c>
    </row>
    <row r="80" spans="1:2" ht="15.5" x14ac:dyDescent="0.35">
      <c r="A80" s="13" t="s">
        <v>976</v>
      </c>
    </row>
    <row r="81" spans="1:3" x14ac:dyDescent="0.35">
      <c r="A81" s="6" t="s">
        <v>18</v>
      </c>
      <c r="B81" s="6" t="s">
        <v>21</v>
      </c>
      <c r="C81" s="6" t="s">
        <v>22</v>
      </c>
    </row>
    <row r="82" spans="1:3" ht="42" x14ac:dyDescent="0.35">
      <c r="A82" s="7" t="s">
        <v>156</v>
      </c>
      <c r="B82" s="7" t="s">
        <v>157</v>
      </c>
      <c r="C82" s="7" t="s">
        <v>639</v>
      </c>
    </row>
    <row r="83" spans="1:3" ht="28" x14ac:dyDescent="0.35">
      <c r="A83" s="7" t="s">
        <v>158</v>
      </c>
      <c r="B83" s="7" t="s">
        <v>159</v>
      </c>
      <c r="C83" s="7" t="s">
        <v>639</v>
      </c>
    </row>
    <row r="84" spans="1:3" x14ac:dyDescent="0.35">
      <c r="A84" s="7" t="s">
        <v>160</v>
      </c>
      <c r="B84" s="7" t="s">
        <v>161</v>
      </c>
      <c r="C84" s="7" t="s">
        <v>950</v>
      </c>
    </row>
    <row r="85" spans="1:3" ht="28" x14ac:dyDescent="0.35">
      <c r="A85" s="7" t="s">
        <v>162</v>
      </c>
      <c r="B85" s="7" t="s">
        <v>163</v>
      </c>
      <c r="C85" s="7" t="s">
        <v>639</v>
      </c>
    </row>
    <row r="86" spans="1:3" x14ac:dyDescent="0.35">
      <c r="A86" s="7" t="s">
        <v>164</v>
      </c>
      <c r="B86" s="7" t="s">
        <v>165</v>
      </c>
      <c r="C86" s="7" t="s">
        <v>639</v>
      </c>
    </row>
    <row r="87" spans="1:3" ht="28" x14ac:dyDescent="0.35">
      <c r="A87" s="7" t="s">
        <v>166</v>
      </c>
      <c r="B87" s="7" t="s">
        <v>167</v>
      </c>
      <c r="C87" s="7" t="s">
        <v>639</v>
      </c>
    </row>
    <row r="88" spans="1:3" ht="28" x14ac:dyDescent="0.35">
      <c r="A88" s="7" t="s">
        <v>168</v>
      </c>
      <c r="B88" s="7" t="s">
        <v>169</v>
      </c>
      <c r="C88" s="7" t="s">
        <v>639</v>
      </c>
    </row>
    <row r="89" spans="1:3" x14ac:dyDescent="0.35">
      <c r="A89" s="7" t="s">
        <v>170</v>
      </c>
      <c r="B89" s="7" t="s">
        <v>171</v>
      </c>
      <c r="C89" s="7" t="s">
        <v>950</v>
      </c>
    </row>
    <row r="91" spans="1:3" ht="15.5" x14ac:dyDescent="0.35">
      <c r="A91" s="13" t="s">
        <v>977</v>
      </c>
    </row>
    <row r="92" spans="1:3" x14ac:dyDescent="0.35">
      <c r="A92" s="6" t="s">
        <v>18</v>
      </c>
      <c r="B92" s="6" t="s">
        <v>21</v>
      </c>
      <c r="C92" s="6" t="s">
        <v>22</v>
      </c>
    </row>
    <row r="93" spans="1:3" ht="56" x14ac:dyDescent="0.35">
      <c r="A93" s="7" t="s">
        <v>172</v>
      </c>
      <c r="B93" s="7" t="s">
        <v>173</v>
      </c>
      <c r="C93" s="7" t="s">
        <v>661</v>
      </c>
    </row>
    <row r="94" spans="1:3" ht="42" x14ac:dyDescent="0.35">
      <c r="A94" s="7" t="s">
        <v>174</v>
      </c>
      <c r="B94" s="7" t="s">
        <v>175</v>
      </c>
      <c r="C94" s="7" t="s">
        <v>661</v>
      </c>
    </row>
    <row r="95" spans="1:3" ht="42" x14ac:dyDescent="0.35">
      <c r="A95" s="7" t="s">
        <v>176</v>
      </c>
      <c r="B95" s="7" t="s">
        <v>177</v>
      </c>
      <c r="C95" s="7" t="s">
        <v>661</v>
      </c>
    </row>
    <row r="96" spans="1:3" ht="28" x14ac:dyDescent="0.35">
      <c r="A96" s="7" t="s">
        <v>178</v>
      </c>
      <c r="B96" s="7" t="s">
        <v>179</v>
      </c>
      <c r="C96" s="7" t="s">
        <v>661</v>
      </c>
    </row>
    <row r="97" spans="1:3" ht="42" x14ac:dyDescent="0.35">
      <c r="A97" s="7" t="s">
        <v>180</v>
      </c>
      <c r="B97" s="7" t="s">
        <v>181</v>
      </c>
      <c r="C97" s="7" t="s">
        <v>661</v>
      </c>
    </row>
    <row r="98" spans="1:3" ht="28" x14ac:dyDescent="0.35">
      <c r="A98" s="7" t="s">
        <v>182</v>
      </c>
      <c r="B98" s="7" t="s">
        <v>183</v>
      </c>
      <c r="C98" s="7" t="s">
        <v>661</v>
      </c>
    </row>
    <row r="99" spans="1:3" ht="42" x14ac:dyDescent="0.35">
      <c r="A99" s="7" t="s">
        <v>184</v>
      </c>
      <c r="B99" s="7" t="s">
        <v>185</v>
      </c>
      <c r="C99" s="7" t="s">
        <v>661</v>
      </c>
    </row>
    <row r="100" spans="1:3" ht="42" x14ac:dyDescent="0.35">
      <c r="A100" s="7" t="s">
        <v>186</v>
      </c>
      <c r="B100" s="7" t="s">
        <v>187</v>
      </c>
      <c r="C100" s="7" t="s">
        <v>661</v>
      </c>
    </row>
    <row r="101" spans="1:3" ht="42" x14ac:dyDescent="0.35">
      <c r="A101" s="7" t="s">
        <v>188</v>
      </c>
      <c r="B101" s="7" t="s">
        <v>189</v>
      </c>
      <c r="C101" s="7" t="s">
        <v>661</v>
      </c>
    </row>
    <row r="102" spans="1:3" ht="70" x14ac:dyDescent="0.35">
      <c r="A102" s="7" t="s">
        <v>190</v>
      </c>
      <c r="B102" s="7" t="s">
        <v>191</v>
      </c>
      <c r="C102" s="7" t="s">
        <v>661</v>
      </c>
    </row>
    <row r="104" spans="1:3" ht="15.5" x14ac:dyDescent="0.35">
      <c r="A104" s="13" t="s">
        <v>978</v>
      </c>
    </row>
    <row r="105" spans="1:3" x14ac:dyDescent="0.35">
      <c r="A105" s="6" t="s">
        <v>18</v>
      </c>
      <c r="B105" s="6" t="s">
        <v>970</v>
      </c>
    </row>
    <row r="106" spans="1:3" x14ac:dyDescent="0.35">
      <c r="A106" s="7" t="s">
        <v>355</v>
      </c>
      <c r="B106" s="7" t="s">
        <v>356</v>
      </c>
    </row>
    <row r="107" spans="1:3" x14ac:dyDescent="0.35">
      <c r="A107" s="7" t="s">
        <v>357</v>
      </c>
      <c r="B107" s="7" t="s">
        <v>358</v>
      </c>
    </row>
    <row r="108" spans="1:3" ht="28" x14ac:dyDescent="0.35">
      <c r="A108" s="7" t="s">
        <v>359</v>
      </c>
      <c r="B108" s="7" t="s">
        <v>360</v>
      </c>
    </row>
    <row r="109" spans="1:3" x14ac:dyDescent="0.35">
      <c r="A109" s="7" t="s">
        <v>361</v>
      </c>
      <c r="B109" s="7" t="s">
        <v>362</v>
      </c>
    </row>
    <row r="110" spans="1:3" x14ac:dyDescent="0.35">
      <c r="A110" s="7" t="s">
        <v>363</v>
      </c>
      <c r="B110" s="7" t="s">
        <v>364</v>
      </c>
    </row>
    <row r="111" spans="1:3" ht="42" x14ac:dyDescent="0.35">
      <c r="A111" s="7" t="s">
        <v>365</v>
      </c>
      <c r="B111" s="7" t="s">
        <v>366</v>
      </c>
    </row>
    <row r="112" spans="1:3" ht="42" x14ac:dyDescent="0.35">
      <c r="A112" s="7" t="s">
        <v>367</v>
      </c>
      <c r="B112" s="7" t="s">
        <v>368</v>
      </c>
    </row>
    <row r="113" spans="1:2" ht="28" x14ac:dyDescent="0.35">
      <c r="A113" s="7" t="s">
        <v>369</v>
      </c>
      <c r="B113" s="7" t="s">
        <v>370</v>
      </c>
    </row>
    <row r="114" spans="1:2" ht="28" x14ac:dyDescent="0.35">
      <c r="A114" s="7" t="s">
        <v>371</v>
      </c>
      <c r="B114" s="7" t="s">
        <v>372</v>
      </c>
    </row>
    <row r="115" spans="1:2" ht="42" x14ac:dyDescent="0.35">
      <c r="A115" s="7" t="s">
        <v>373</v>
      </c>
      <c r="B115" s="7" t="s">
        <v>374</v>
      </c>
    </row>
    <row r="117" spans="1:2" ht="15.5" x14ac:dyDescent="0.35">
      <c r="A117" s="13" t="s">
        <v>979</v>
      </c>
    </row>
    <row r="118" spans="1:2" ht="42" x14ac:dyDescent="0.35">
      <c r="A118" s="7" t="s">
        <v>980</v>
      </c>
    </row>
    <row r="119" spans="1:2" ht="56" x14ac:dyDescent="0.35">
      <c r="A119" s="7" t="s">
        <v>981</v>
      </c>
    </row>
    <row r="120" spans="1:2" ht="28" x14ac:dyDescent="0.35">
      <c r="A120" s="7" t="s">
        <v>982</v>
      </c>
    </row>
    <row r="121" spans="1:2" ht="42" x14ac:dyDescent="0.35">
      <c r="A121" s="7" t="s">
        <v>983</v>
      </c>
    </row>
    <row r="122" spans="1:2" ht="42" x14ac:dyDescent="0.35">
      <c r="A122" s="7" t="s">
        <v>984</v>
      </c>
    </row>
    <row r="123" spans="1:2" ht="28" x14ac:dyDescent="0.35">
      <c r="A123" s="7" t="s">
        <v>985</v>
      </c>
    </row>
    <row r="125" spans="1:2" ht="15.5" x14ac:dyDescent="0.35">
      <c r="A125" s="13" t="s">
        <v>986</v>
      </c>
    </row>
    <row r="126" spans="1:2" ht="28" x14ac:dyDescent="0.35">
      <c r="A126" s="7" t="s">
        <v>987</v>
      </c>
    </row>
    <row r="127" spans="1:2" ht="28" x14ac:dyDescent="0.35">
      <c r="A127" s="7" t="s">
        <v>988</v>
      </c>
    </row>
    <row r="128" spans="1:2" x14ac:dyDescent="0.35">
      <c r="A128" s="7" t="s">
        <v>989</v>
      </c>
    </row>
    <row r="130" spans="1:3" ht="15.5" x14ac:dyDescent="0.35">
      <c r="A130" s="13" t="s">
        <v>990</v>
      </c>
    </row>
    <row r="131" spans="1:3" x14ac:dyDescent="0.35">
      <c r="A131" s="6" t="s">
        <v>18</v>
      </c>
      <c r="B131" s="6" t="s">
        <v>21</v>
      </c>
      <c r="C131" s="6" t="s">
        <v>22</v>
      </c>
    </row>
    <row r="132" spans="1:3" x14ac:dyDescent="0.35">
      <c r="A132" s="7" t="s">
        <v>192</v>
      </c>
      <c r="B132" s="7" t="s">
        <v>193</v>
      </c>
      <c r="C132" s="7" t="s">
        <v>639</v>
      </c>
    </row>
    <row r="133" spans="1:3" ht="28" x14ac:dyDescent="0.35">
      <c r="A133" s="7" t="s">
        <v>194</v>
      </c>
      <c r="B133" s="7" t="s">
        <v>195</v>
      </c>
      <c r="C133" s="7" t="s">
        <v>950</v>
      </c>
    </row>
    <row r="134" spans="1:3" ht="28" x14ac:dyDescent="0.35">
      <c r="A134" s="7" t="s">
        <v>196</v>
      </c>
      <c r="B134" s="7" t="s">
        <v>197</v>
      </c>
      <c r="C134" s="7" t="s">
        <v>950</v>
      </c>
    </row>
    <row r="135" spans="1:3" x14ac:dyDescent="0.35">
      <c r="A135" s="7" t="s">
        <v>198</v>
      </c>
      <c r="B135" s="7" t="s">
        <v>199</v>
      </c>
      <c r="C135" s="7" t="s">
        <v>950</v>
      </c>
    </row>
    <row r="136" spans="1:3" ht="28" x14ac:dyDescent="0.35">
      <c r="A136" s="7" t="s">
        <v>200</v>
      </c>
      <c r="B136" s="7" t="s">
        <v>201</v>
      </c>
      <c r="C136" s="7" t="s">
        <v>950</v>
      </c>
    </row>
    <row r="137" spans="1:3" x14ac:dyDescent="0.35">
      <c r="A137" s="7" t="s">
        <v>202</v>
      </c>
      <c r="B137" s="7" t="s">
        <v>203</v>
      </c>
      <c r="C137" s="7" t="s">
        <v>950</v>
      </c>
    </row>
    <row r="138" spans="1:3" ht="28" x14ac:dyDescent="0.35">
      <c r="A138" s="7" t="s">
        <v>204</v>
      </c>
      <c r="B138" s="7" t="s">
        <v>205</v>
      </c>
      <c r="C138" s="7" t="s">
        <v>950</v>
      </c>
    </row>
    <row r="139" spans="1:3" x14ac:dyDescent="0.35">
      <c r="A139" s="7" t="s">
        <v>206</v>
      </c>
      <c r="B139" s="7" t="s">
        <v>207</v>
      </c>
      <c r="C139" s="7" t="s">
        <v>950</v>
      </c>
    </row>
    <row r="140" spans="1:3" x14ac:dyDescent="0.35">
      <c r="A140" s="7" t="s">
        <v>208</v>
      </c>
      <c r="B140" s="7" t="s">
        <v>209</v>
      </c>
      <c r="C140" s="7" t="s">
        <v>639</v>
      </c>
    </row>
    <row r="141" spans="1:3" ht="28" x14ac:dyDescent="0.35">
      <c r="A141" s="7" t="s">
        <v>210</v>
      </c>
      <c r="B141" s="7" t="s">
        <v>211</v>
      </c>
      <c r="C141" s="7" t="s">
        <v>639</v>
      </c>
    </row>
    <row r="142" spans="1:3" ht="28" x14ac:dyDescent="0.35">
      <c r="A142" s="7" t="s">
        <v>212</v>
      </c>
      <c r="B142" s="7" t="s">
        <v>213</v>
      </c>
      <c r="C142" s="7" t="s">
        <v>991</v>
      </c>
    </row>
    <row r="144" spans="1:3" ht="15.5" x14ac:dyDescent="0.35">
      <c r="A144" s="13" t="s">
        <v>992</v>
      </c>
    </row>
    <row r="145" spans="1:3" x14ac:dyDescent="0.35">
      <c r="A145" s="6" t="s">
        <v>18</v>
      </c>
      <c r="B145" s="6" t="s">
        <v>21</v>
      </c>
    </row>
    <row r="146" spans="1:3" ht="28" x14ac:dyDescent="0.35">
      <c r="A146" s="7" t="s">
        <v>214</v>
      </c>
      <c r="B146" s="7" t="s">
        <v>215</v>
      </c>
    </row>
    <row r="147" spans="1:3" ht="28" x14ac:dyDescent="0.35">
      <c r="A147" s="7" t="s">
        <v>216</v>
      </c>
      <c r="B147" s="7" t="s">
        <v>217</v>
      </c>
    </row>
    <row r="148" spans="1:3" ht="28" x14ac:dyDescent="0.35">
      <c r="A148" s="7" t="s">
        <v>218</v>
      </c>
      <c r="B148" s="7" t="s">
        <v>219</v>
      </c>
    </row>
    <row r="149" spans="1:3" x14ac:dyDescent="0.35">
      <c r="A149" s="7" t="s">
        <v>220</v>
      </c>
      <c r="B149" s="7" t="s">
        <v>221</v>
      </c>
    </row>
    <row r="150" spans="1:3" ht="28" x14ac:dyDescent="0.35">
      <c r="A150" s="7" t="s">
        <v>222</v>
      </c>
      <c r="B150" s="7" t="s">
        <v>223</v>
      </c>
    </row>
    <row r="151" spans="1:3" ht="28" x14ac:dyDescent="0.35">
      <c r="A151" s="7" t="s">
        <v>224</v>
      </c>
      <c r="B151" s="7" t="s">
        <v>225</v>
      </c>
    </row>
    <row r="152" spans="1:3" ht="42" x14ac:dyDescent="0.35">
      <c r="A152" s="7" t="s">
        <v>226</v>
      </c>
      <c r="B152" s="7" t="s">
        <v>227</v>
      </c>
    </row>
    <row r="153" spans="1:3" x14ac:dyDescent="0.35">
      <c r="A153" s="7" t="s">
        <v>228</v>
      </c>
      <c r="B153" s="7" t="s">
        <v>229</v>
      </c>
    </row>
    <row r="154" spans="1:3" x14ac:dyDescent="0.35">
      <c r="A154" s="7" t="s">
        <v>230</v>
      </c>
      <c r="B154" s="7" t="s">
        <v>231</v>
      </c>
    </row>
    <row r="156" spans="1:3" ht="15.5" x14ac:dyDescent="0.35">
      <c r="A156" s="13" t="s">
        <v>993</v>
      </c>
    </row>
    <row r="157" spans="1:3" x14ac:dyDescent="0.35">
      <c r="A157" s="6" t="s">
        <v>18</v>
      </c>
      <c r="B157" s="6" t="s">
        <v>21</v>
      </c>
      <c r="C157" s="6" t="s">
        <v>22</v>
      </c>
    </row>
    <row r="158" spans="1:3" x14ac:dyDescent="0.35">
      <c r="A158" s="7" t="s">
        <v>232</v>
      </c>
      <c r="B158" s="7" t="s">
        <v>233</v>
      </c>
      <c r="C158" s="7" t="s">
        <v>639</v>
      </c>
    </row>
    <row r="159" spans="1:3" ht="28" x14ac:dyDescent="0.35">
      <c r="A159" s="7" t="s">
        <v>234</v>
      </c>
      <c r="B159" s="7" t="s">
        <v>235</v>
      </c>
      <c r="C159" s="7" t="s">
        <v>950</v>
      </c>
    </row>
    <row r="160" spans="1:3" x14ac:dyDescent="0.35">
      <c r="A160" s="7" t="s">
        <v>236</v>
      </c>
      <c r="B160" s="7" t="s">
        <v>237</v>
      </c>
      <c r="C160" s="7" t="s">
        <v>994</v>
      </c>
    </row>
    <row r="161" spans="1:3" ht="28" x14ac:dyDescent="0.35">
      <c r="A161" s="7" t="s">
        <v>238</v>
      </c>
      <c r="B161" s="7" t="s">
        <v>239</v>
      </c>
      <c r="C161" s="7" t="s">
        <v>950</v>
      </c>
    </row>
    <row r="162" spans="1:3" x14ac:dyDescent="0.35">
      <c r="A162" s="7" t="s">
        <v>240</v>
      </c>
      <c r="B162" s="7" t="s">
        <v>241</v>
      </c>
      <c r="C162" s="7" t="s">
        <v>950</v>
      </c>
    </row>
    <row r="163" spans="1:3" ht="28" x14ac:dyDescent="0.35">
      <c r="A163" s="7" t="s">
        <v>242</v>
      </c>
      <c r="B163" s="7" t="s">
        <v>243</v>
      </c>
      <c r="C163" s="7" t="s">
        <v>639</v>
      </c>
    </row>
    <row r="164" spans="1:3" x14ac:dyDescent="0.35">
      <c r="A164" s="7" t="s">
        <v>244</v>
      </c>
      <c r="B164" s="7" t="s">
        <v>245</v>
      </c>
      <c r="C164" s="7" t="s">
        <v>950</v>
      </c>
    </row>
    <row r="165" spans="1:3" x14ac:dyDescent="0.35">
      <c r="A165" s="7" t="s">
        <v>246</v>
      </c>
      <c r="B165" s="7" t="s">
        <v>247</v>
      </c>
      <c r="C165" s="7" t="s">
        <v>950</v>
      </c>
    </row>
    <row r="167" spans="1:3" ht="15.5" x14ac:dyDescent="0.35">
      <c r="A167" s="13" t="s">
        <v>995</v>
      </c>
    </row>
    <row r="168" spans="1:3" x14ac:dyDescent="0.35">
      <c r="A168" s="6" t="s">
        <v>18</v>
      </c>
      <c r="B168" s="6" t="s">
        <v>21</v>
      </c>
      <c r="C168" s="6" t="s">
        <v>22</v>
      </c>
    </row>
    <row r="169" spans="1:3" ht="28" x14ac:dyDescent="0.35">
      <c r="A169" s="7" t="s">
        <v>248</v>
      </c>
      <c r="B169" s="7" t="s">
        <v>249</v>
      </c>
      <c r="C169" s="7" t="s">
        <v>639</v>
      </c>
    </row>
    <row r="170" spans="1:3" x14ac:dyDescent="0.35">
      <c r="A170" s="7" t="s">
        <v>250</v>
      </c>
      <c r="B170" s="7" t="s">
        <v>251</v>
      </c>
      <c r="C170" s="7" t="s">
        <v>639</v>
      </c>
    </row>
    <row r="171" spans="1:3" x14ac:dyDescent="0.35">
      <c r="A171" s="7" t="s">
        <v>252</v>
      </c>
      <c r="B171" s="7" t="s">
        <v>253</v>
      </c>
      <c r="C171" s="7" t="s">
        <v>639</v>
      </c>
    </row>
    <row r="172" spans="1:3" ht="28" x14ac:dyDescent="0.35">
      <c r="A172" s="7" t="s">
        <v>254</v>
      </c>
      <c r="B172" s="7" t="s">
        <v>255</v>
      </c>
      <c r="C172" s="7" t="s">
        <v>639</v>
      </c>
    </row>
    <row r="173" spans="1:3" ht="28" x14ac:dyDescent="0.35">
      <c r="A173" s="7" t="s">
        <v>256</v>
      </c>
      <c r="B173" s="7" t="s">
        <v>257</v>
      </c>
      <c r="C173" s="7" t="s">
        <v>639</v>
      </c>
    </row>
    <row r="174" spans="1:3" x14ac:dyDescent="0.35">
      <c r="A174" s="7" t="s">
        <v>258</v>
      </c>
      <c r="B174" s="7" t="s">
        <v>259</v>
      </c>
      <c r="C174" s="7" t="s">
        <v>639</v>
      </c>
    </row>
    <row r="175" spans="1:3" ht="42" x14ac:dyDescent="0.35">
      <c r="A175" s="7" t="s">
        <v>260</v>
      </c>
      <c r="B175" s="7" t="s">
        <v>261</v>
      </c>
      <c r="C175" s="7" t="s">
        <v>991</v>
      </c>
    </row>
    <row r="176" spans="1:3" ht="42" x14ac:dyDescent="0.35">
      <c r="A176" s="7" t="s">
        <v>262</v>
      </c>
      <c r="B176" s="7" t="s">
        <v>263</v>
      </c>
      <c r="C176" s="7" t="s">
        <v>991</v>
      </c>
    </row>
    <row r="177" spans="1:3" ht="42" x14ac:dyDescent="0.35">
      <c r="A177" s="7" t="s">
        <v>264</v>
      </c>
      <c r="B177" s="7" t="s">
        <v>265</v>
      </c>
      <c r="C177" s="7" t="s">
        <v>639</v>
      </c>
    </row>
    <row r="178" spans="1:3" ht="56" x14ac:dyDescent="0.35">
      <c r="A178" s="7" t="s">
        <v>266</v>
      </c>
      <c r="B178" s="7" t="s">
        <v>267</v>
      </c>
      <c r="C178" s="7" t="s">
        <v>652</v>
      </c>
    </row>
    <row r="179" spans="1:3" ht="56" x14ac:dyDescent="0.35">
      <c r="A179" s="7" t="s">
        <v>270</v>
      </c>
      <c r="B179" s="7" t="s">
        <v>271</v>
      </c>
      <c r="C179" s="7" t="s">
        <v>652</v>
      </c>
    </row>
    <row r="180" spans="1:3" ht="70" x14ac:dyDescent="0.35">
      <c r="A180" s="7" t="s">
        <v>272</v>
      </c>
      <c r="B180" s="7" t="s">
        <v>273</v>
      </c>
      <c r="C180" s="7" t="s">
        <v>652</v>
      </c>
    </row>
    <row r="181" spans="1:3" ht="56" x14ac:dyDescent="0.35">
      <c r="A181" s="7" t="s">
        <v>268</v>
      </c>
      <c r="B181" s="7" t="s">
        <v>269</v>
      </c>
      <c r="C181" s="7" t="s">
        <v>652</v>
      </c>
    </row>
    <row r="183" spans="1:3" ht="15.5" x14ac:dyDescent="0.35">
      <c r="A183" s="13" t="s">
        <v>996</v>
      </c>
    </row>
    <row r="184" spans="1:3" x14ac:dyDescent="0.35">
      <c r="A184" s="12" t="s">
        <v>997</v>
      </c>
    </row>
    <row r="186" spans="1:3" ht="15.5" x14ac:dyDescent="0.35">
      <c r="A186" s="13" t="s">
        <v>996</v>
      </c>
    </row>
    <row r="187" spans="1:3" x14ac:dyDescent="0.35">
      <c r="A187" s="6" t="s">
        <v>18</v>
      </c>
      <c r="B187" s="6" t="s">
        <v>21</v>
      </c>
      <c r="C187" s="6" t="s">
        <v>22</v>
      </c>
    </row>
    <row r="188" spans="1:3" ht="42" x14ac:dyDescent="0.35">
      <c r="A188" s="7" t="s">
        <v>274</v>
      </c>
      <c r="B188" s="7" t="s">
        <v>275</v>
      </c>
      <c r="C188" s="7" t="s">
        <v>652</v>
      </c>
    </row>
    <row r="189" spans="1:3" ht="42" x14ac:dyDescent="0.35">
      <c r="A189" s="7" t="s">
        <v>276</v>
      </c>
      <c r="B189" s="7" t="s">
        <v>277</v>
      </c>
      <c r="C189" s="7" t="s">
        <v>652</v>
      </c>
    </row>
    <row r="190" spans="1:3" ht="56" x14ac:dyDescent="0.35">
      <c r="A190" s="7" t="s">
        <v>278</v>
      </c>
      <c r="B190" s="7" t="s">
        <v>279</v>
      </c>
      <c r="C190" s="7" t="s">
        <v>652</v>
      </c>
    </row>
    <row r="191" spans="1:3" ht="42" x14ac:dyDescent="0.35">
      <c r="A191" s="7" t="s">
        <v>280</v>
      </c>
      <c r="B191" s="7" t="s">
        <v>281</v>
      </c>
      <c r="C191" s="7" t="s">
        <v>652</v>
      </c>
    </row>
    <row r="192" spans="1:3" ht="42" x14ac:dyDescent="0.35">
      <c r="A192" s="7" t="s">
        <v>282</v>
      </c>
      <c r="B192" s="7" t="s">
        <v>283</v>
      </c>
      <c r="C192" s="7" t="s">
        <v>652</v>
      </c>
    </row>
    <row r="193" spans="1:3" ht="28" x14ac:dyDescent="0.35">
      <c r="A193" s="7" t="s">
        <v>284</v>
      </c>
      <c r="B193" s="7" t="s">
        <v>285</v>
      </c>
      <c r="C193" s="7" t="s">
        <v>652</v>
      </c>
    </row>
    <row r="194" spans="1:3" ht="56" x14ac:dyDescent="0.35">
      <c r="A194" s="7" t="s">
        <v>286</v>
      </c>
      <c r="B194" s="7" t="s">
        <v>287</v>
      </c>
      <c r="C194" s="7" t="s">
        <v>652</v>
      </c>
    </row>
    <row r="195" spans="1:3" ht="28" x14ac:dyDescent="0.35">
      <c r="A195" s="7" t="s">
        <v>288</v>
      </c>
      <c r="B195" s="7" t="s">
        <v>289</v>
      </c>
      <c r="C195" s="7" t="s">
        <v>652</v>
      </c>
    </row>
    <row r="196" spans="1:3" ht="56" x14ac:dyDescent="0.35">
      <c r="A196" s="7" t="s">
        <v>290</v>
      </c>
      <c r="B196" s="7" t="s">
        <v>291</v>
      </c>
      <c r="C196" s="7" t="s">
        <v>652</v>
      </c>
    </row>
    <row r="197" spans="1:3" ht="42" x14ac:dyDescent="0.35">
      <c r="A197" s="7" t="s">
        <v>292</v>
      </c>
      <c r="B197" s="7" t="s">
        <v>293</v>
      </c>
      <c r="C197" s="7" t="s">
        <v>652</v>
      </c>
    </row>
    <row r="198" spans="1:3" ht="42" x14ac:dyDescent="0.35">
      <c r="A198" s="7" t="s">
        <v>294</v>
      </c>
      <c r="B198" s="7" t="s">
        <v>295</v>
      </c>
      <c r="C198" s="7" t="s">
        <v>652</v>
      </c>
    </row>
    <row r="199" spans="1:3" ht="42" x14ac:dyDescent="0.35">
      <c r="A199" s="7" t="s">
        <v>296</v>
      </c>
      <c r="B199" s="7" t="s">
        <v>297</v>
      </c>
      <c r="C199" s="7" t="s">
        <v>652</v>
      </c>
    </row>
    <row r="201" spans="1:3" ht="15.5" x14ac:dyDescent="0.35">
      <c r="A201" s="13" t="s">
        <v>998</v>
      </c>
    </row>
    <row r="202" spans="1:3" x14ac:dyDescent="0.35">
      <c r="A202" s="6" t="s">
        <v>18</v>
      </c>
      <c r="B202" s="6" t="s">
        <v>970</v>
      </c>
    </row>
    <row r="203" spans="1:3" ht="28" x14ac:dyDescent="0.35">
      <c r="A203" s="7" t="s">
        <v>375</v>
      </c>
      <c r="B203" s="7" t="s">
        <v>376</v>
      </c>
    </row>
    <row r="204" spans="1:3" ht="42" x14ac:dyDescent="0.35">
      <c r="A204" s="7" t="s">
        <v>377</v>
      </c>
      <c r="B204" s="7" t="s">
        <v>378</v>
      </c>
    </row>
    <row r="205" spans="1:3" ht="28" x14ac:dyDescent="0.35">
      <c r="A205" s="7" t="s">
        <v>379</v>
      </c>
      <c r="B205" s="7" t="s">
        <v>380</v>
      </c>
    </row>
    <row r="206" spans="1:3" ht="28" x14ac:dyDescent="0.35">
      <c r="A206" s="7" t="s">
        <v>381</v>
      </c>
      <c r="B206" s="7" t="s">
        <v>382</v>
      </c>
    </row>
    <row r="207" spans="1:3" ht="42" x14ac:dyDescent="0.35">
      <c r="A207" s="7" t="s">
        <v>383</v>
      </c>
      <c r="B207" s="7" t="s">
        <v>384</v>
      </c>
    </row>
    <row r="209" spans="1:3" ht="15.5" x14ac:dyDescent="0.35">
      <c r="A209" s="13" t="s">
        <v>999</v>
      </c>
    </row>
    <row r="210" spans="1:3" ht="84" x14ac:dyDescent="0.35">
      <c r="A210" s="7" t="s">
        <v>1000</v>
      </c>
    </row>
    <row r="211" spans="1:3" ht="42" x14ac:dyDescent="0.35">
      <c r="A211" s="7" t="s">
        <v>1001</v>
      </c>
    </row>
    <row r="212" spans="1:3" ht="42" x14ac:dyDescent="0.35">
      <c r="A212" s="7" t="s">
        <v>1002</v>
      </c>
    </row>
    <row r="213" spans="1:3" ht="42" x14ac:dyDescent="0.35">
      <c r="A213" s="7" t="s">
        <v>1003</v>
      </c>
    </row>
    <row r="214" spans="1:3" ht="28" x14ac:dyDescent="0.35">
      <c r="A214" s="7" t="s">
        <v>1004</v>
      </c>
    </row>
    <row r="215" spans="1:3" ht="28" x14ac:dyDescent="0.35">
      <c r="A215" s="7" t="s">
        <v>1005</v>
      </c>
    </row>
    <row r="217" spans="1:3" ht="15.5" x14ac:dyDescent="0.35">
      <c r="A217" s="13" t="s">
        <v>1006</v>
      </c>
    </row>
    <row r="218" spans="1:3" x14ac:dyDescent="0.35">
      <c r="A218" s="12" t="s">
        <v>1007</v>
      </c>
    </row>
    <row r="220" spans="1:3" ht="15.5" x14ac:dyDescent="0.35">
      <c r="A220" s="13" t="s">
        <v>1006</v>
      </c>
    </row>
    <row r="221" spans="1:3" x14ac:dyDescent="0.35">
      <c r="A221" s="6" t="s">
        <v>18</v>
      </c>
      <c r="B221" s="6" t="s">
        <v>21</v>
      </c>
      <c r="C221" s="6" t="s">
        <v>22</v>
      </c>
    </row>
    <row r="222" spans="1:3" x14ac:dyDescent="0.35">
      <c r="A222" s="7" t="s">
        <v>298</v>
      </c>
      <c r="B222" s="7" t="s">
        <v>299</v>
      </c>
      <c r="C222" s="7" t="s">
        <v>652</v>
      </c>
    </row>
    <row r="223" spans="1:3" ht="42" x14ac:dyDescent="0.35">
      <c r="A223" s="7" t="s">
        <v>300</v>
      </c>
      <c r="B223" s="7" t="s">
        <v>301</v>
      </c>
      <c r="C223" s="7" t="s">
        <v>652</v>
      </c>
    </row>
    <row r="224" spans="1:3" ht="42" x14ac:dyDescent="0.35">
      <c r="A224" s="7" t="s">
        <v>302</v>
      </c>
      <c r="B224" s="7" t="s">
        <v>303</v>
      </c>
      <c r="C224" s="7" t="s">
        <v>652</v>
      </c>
    </row>
    <row r="225" spans="1:3" ht="56" x14ac:dyDescent="0.35">
      <c r="A225" s="7" t="s">
        <v>304</v>
      </c>
      <c r="B225" s="7" t="s">
        <v>305</v>
      </c>
      <c r="C225" s="7" t="s">
        <v>652</v>
      </c>
    </row>
    <row r="226" spans="1:3" ht="28" x14ac:dyDescent="0.35">
      <c r="A226" s="7" t="s">
        <v>306</v>
      </c>
      <c r="B226" s="7" t="s">
        <v>307</v>
      </c>
      <c r="C226" s="7" t="s">
        <v>652</v>
      </c>
    </row>
    <row r="227" spans="1:3" ht="42" x14ac:dyDescent="0.35">
      <c r="A227" s="7" t="s">
        <v>308</v>
      </c>
      <c r="B227" s="7" t="s">
        <v>309</v>
      </c>
      <c r="C227" s="7" t="s">
        <v>652</v>
      </c>
    </row>
    <row r="228" spans="1:3" ht="56" x14ac:dyDescent="0.35">
      <c r="A228" s="7" t="s">
        <v>310</v>
      </c>
      <c r="B228" s="7" t="s">
        <v>311</v>
      </c>
      <c r="C228" s="7" t="s">
        <v>652</v>
      </c>
    </row>
    <row r="229" spans="1:3" ht="56" x14ac:dyDescent="0.35">
      <c r="A229" s="7" t="s">
        <v>312</v>
      </c>
      <c r="B229" s="7" t="s">
        <v>313</v>
      </c>
      <c r="C229" s="7" t="s">
        <v>652</v>
      </c>
    </row>
    <row r="230" spans="1:3" ht="42" x14ac:dyDescent="0.35">
      <c r="A230" s="7" t="s">
        <v>314</v>
      </c>
      <c r="B230" s="7" t="s">
        <v>315</v>
      </c>
      <c r="C230" s="7" t="s">
        <v>652</v>
      </c>
    </row>
    <row r="231" spans="1:3" ht="28" x14ac:dyDescent="0.35">
      <c r="A231" s="7" t="s">
        <v>316</v>
      </c>
      <c r="B231" s="7" t="s">
        <v>317</v>
      </c>
      <c r="C231" s="7" t="s">
        <v>652</v>
      </c>
    </row>
    <row r="232" spans="1:3" ht="28" x14ac:dyDescent="0.35">
      <c r="A232" s="7" t="s">
        <v>318</v>
      </c>
      <c r="B232" s="7" t="s">
        <v>319</v>
      </c>
      <c r="C232" s="7" t="s">
        <v>652</v>
      </c>
    </row>
    <row r="233" spans="1:3" ht="28" x14ac:dyDescent="0.35">
      <c r="A233" s="7" t="s">
        <v>320</v>
      </c>
      <c r="B233" s="7" t="s">
        <v>321</v>
      </c>
      <c r="C233" s="7" t="s">
        <v>652</v>
      </c>
    </row>
    <row r="234" spans="1:3" ht="28" x14ac:dyDescent="0.35">
      <c r="A234" s="7" t="s">
        <v>322</v>
      </c>
      <c r="B234" s="7" t="s">
        <v>323</v>
      </c>
      <c r="C234" s="7" t="s">
        <v>652</v>
      </c>
    </row>
    <row r="236" spans="1:3" ht="15.5" x14ac:dyDescent="0.35">
      <c r="A236" s="13" t="s">
        <v>1008</v>
      </c>
    </row>
    <row r="237" spans="1:3" x14ac:dyDescent="0.35">
      <c r="A237" s="6" t="s">
        <v>18</v>
      </c>
      <c r="B237" s="6" t="s">
        <v>970</v>
      </c>
    </row>
    <row r="238" spans="1:3" ht="28" x14ac:dyDescent="0.35">
      <c r="A238" s="7" t="s">
        <v>385</v>
      </c>
      <c r="B238" s="7" t="s">
        <v>386</v>
      </c>
    </row>
    <row r="239" spans="1:3" ht="56" x14ac:dyDescent="0.35">
      <c r="A239" s="7" t="s">
        <v>387</v>
      </c>
      <c r="B239" s="7" t="s">
        <v>388</v>
      </c>
    </row>
    <row r="240" spans="1:3" ht="42" x14ac:dyDescent="0.35">
      <c r="A240" s="7" t="s">
        <v>389</v>
      </c>
      <c r="B240" s="7" t="s">
        <v>390</v>
      </c>
    </row>
    <row r="241" spans="1:2" ht="56" x14ac:dyDescent="0.35">
      <c r="A241" s="7" t="s">
        <v>391</v>
      </c>
      <c r="B241" s="7" t="s">
        <v>392</v>
      </c>
    </row>
    <row r="242" spans="1:2" ht="28" x14ac:dyDescent="0.35">
      <c r="A242" s="7" t="s">
        <v>393</v>
      </c>
      <c r="B242" s="7" t="s">
        <v>394</v>
      </c>
    </row>
    <row r="244" spans="1:2" ht="15.5" x14ac:dyDescent="0.35">
      <c r="A244" s="13" t="s">
        <v>1009</v>
      </c>
    </row>
    <row r="245" spans="1:2" ht="56" x14ac:dyDescent="0.35">
      <c r="A245" s="7" t="s">
        <v>1010</v>
      </c>
    </row>
    <row r="246" spans="1:2" ht="42" x14ac:dyDescent="0.35">
      <c r="A246" s="7" t="s">
        <v>1011</v>
      </c>
    </row>
    <row r="247" spans="1:2" ht="42" x14ac:dyDescent="0.35">
      <c r="A247" s="7" t="s">
        <v>1012</v>
      </c>
    </row>
    <row r="248" spans="1:2" ht="42" x14ac:dyDescent="0.35">
      <c r="A248" s="7" t="s">
        <v>1013</v>
      </c>
    </row>
    <row r="249" spans="1:2" ht="28" x14ac:dyDescent="0.35">
      <c r="A249" s="7" t="s">
        <v>1014</v>
      </c>
    </row>
    <row r="250" spans="1:2" ht="28" x14ac:dyDescent="0.35">
      <c r="A250" s="7" t="s">
        <v>1015</v>
      </c>
    </row>
    <row r="251" spans="1:2" ht="28" x14ac:dyDescent="0.35">
      <c r="A251" s="7" t="s">
        <v>1016</v>
      </c>
    </row>
    <row r="253" spans="1:2" ht="15.5" x14ac:dyDescent="0.35">
      <c r="A253" s="13" t="s">
        <v>1017</v>
      </c>
    </row>
    <row r="254" spans="1:2" x14ac:dyDescent="0.35">
      <c r="A254" s="12" t="s">
        <v>1018</v>
      </c>
    </row>
    <row r="256" spans="1:2" ht="15.5" x14ac:dyDescent="0.35">
      <c r="A256" s="13" t="s">
        <v>1017</v>
      </c>
    </row>
    <row r="257" spans="1:3" x14ac:dyDescent="0.35">
      <c r="A257" s="6" t="s">
        <v>18</v>
      </c>
      <c r="B257" s="6" t="s">
        <v>21</v>
      </c>
      <c r="C257" s="6" t="s">
        <v>22</v>
      </c>
    </row>
    <row r="258" spans="1:3" ht="70" x14ac:dyDescent="0.35">
      <c r="A258" s="7" t="s">
        <v>324</v>
      </c>
      <c r="B258" s="7" t="s">
        <v>325</v>
      </c>
      <c r="C258" s="7" t="s">
        <v>652</v>
      </c>
    </row>
    <row r="259" spans="1:3" ht="28" x14ac:dyDescent="0.35">
      <c r="A259" s="7" t="s">
        <v>326</v>
      </c>
      <c r="B259" s="7" t="s">
        <v>327</v>
      </c>
      <c r="C259" s="7" t="s">
        <v>652</v>
      </c>
    </row>
    <row r="260" spans="1:3" ht="28" x14ac:dyDescent="0.35">
      <c r="A260" s="7" t="s">
        <v>328</v>
      </c>
      <c r="B260" s="7" t="s">
        <v>329</v>
      </c>
      <c r="C260" s="7" t="s">
        <v>652</v>
      </c>
    </row>
    <row r="261" spans="1:3" ht="56" x14ac:dyDescent="0.35">
      <c r="A261" s="7" t="s">
        <v>330</v>
      </c>
      <c r="B261" s="7" t="s">
        <v>331</v>
      </c>
      <c r="C261" s="7" t="s">
        <v>652</v>
      </c>
    </row>
    <row r="262" spans="1:3" ht="56" x14ac:dyDescent="0.35">
      <c r="A262" s="7" t="s">
        <v>332</v>
      </c>
      <c r="B262" s="7" t="s">
        <v>333</v>
      </c>
      <c r="C262" s="7" t="s">
        <v>652</v>
      </c>
    </row>
    <row r="263" spans="1:3" ht="42" x14ac:dyDescent="0.35">
      <c r="A263" s="7" t="s">
        <v>334</v>
      </c>
      <c r="B263" s="7" t="s">
        <v>335</v>
      </c>
      <c r="C263" s="7" t="s">
        <v>652</v>
      </c>
    </row>
    <row r="264" spans="1:3" ht="42" x14ac:dyDescent="0.35">
      <c r="A264" s="7" t="s">
        <v>336</v>
      </c>
      <c r="B264" s="7" t="s">
        <v>337</v>
      </c>
      <c r="C264" s="7" t="s">
        <v>652</v>
      </c>
    </row>
    <row r="265" spans="1:3" ht="28" x14ac:dyDescent="0.35">
      <c r="A265" s="7" t="s">
        <v>338</v>
      </c>
      <c r="B265" s="7" t="s">
        <v>339</v>
      </c>
      <c r="C265" s="7" t="s">
        <v>652</v>
      </c>
    </row>
    <row r="266" spans="1:3" ht="28" x14ac:dyDescent="0.35">
      <c r="A266" s="7" t="s">
        <v>340</v>
      </c>
      <c r="B266" s="7" t="s">
        <v>341</v>
      </c>
      <c r="C266" s="7" t="s">
        <v>652</v>
      </c>
    </row>
    <row r="268" spans="1:3" ht="15.5" x14ac:dyDescent="0.35">
      <c r="A268" s="13" t="s">
        <v>1019</v>
      </c>
    </row>
    <row r="269" spans="1:3" x14ac:dyDescent="0.35">
      <c r="A269" s="6" t="s">
        <v>18</v>
      </c>
      <c r="B269" s="6" t="s">
        <v>970</v>
      </c>
    </row>
    <row r="270" spans="1:3" ht="42" x14ac:dyDescent="0.35">
      <c r="A270" s="7" t="s">
        <v>395</v>
      </c>
      <c r="B270" s="7" t="s">
        <v>396</v>
      </c>
    </row>
    <row r="271" spans="1:3" ht="42" x14ac:dyDescent="0.35">
      <c r="A271" s="7" t="s">
        <v>397</v>
      </c>
      <c r="B271" s="7" t="s">
        <v>398</v>
      </c>
    </row>
    <row r="272" spans="1:3" ht="28" x14ac:dyDescent="0.35">
      <c r="A272" s="7" t="s">
        <v>399</v>
      </c>
      <c r="B272" s="7" t="s">
        <v>400</v>
      </c>
    </row>
    <row r="273" spans="1:2" ht="28" x14ac:dyDescent="0.35">
      <c r="A273" s="7" t="s">
        <v>401</v>
      </c>
      <c r="B273" s="7" t="s">
        <v>402</v>
      </c>
    </row>
    <row r="275" spans="1:2" ht="15.5" x14ac:dyDescent="0.35">
      <c r="A275" s="13" t="s">
        <v>1020</v>
      </c>
    </row>
    <row r="276" spans="1:2" ht="56" x14ac:dyDescent="0.35">
      <c r="A276" s="7" t="s">
        <v>1021</v>
      </c>
    </row>
    <row r="277" spans="1:2" ht="28" x14ac:dyDescent="0.35">
      <c r="A277" s="7" t="s">
        <v>1022</v>
      </c>
    </row>
    <row r="278" spans="1:2" ht="56" x14ac:dyDescent="0.35">
      <c r="A278" s="7" t="s">
        <v>1023</v>
      </c>
    </row>
    <row r="279" spans="1:2" ht="28" x14ac:dyDescent="0.35">
      <c r="A279" s="7" t="s">
        <v>1024</v>
      </c>
    </row>
    <row r="280" spans="1:2" ht="28" x14ac:dyDescent="0.35">
      <c r="A280" s="7" t="s">
        <v>1025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1"/>
  <sheetViews>
    <sheetView workbookViewId="0"/>
  </sheetViews>
  <sheetFormatPr defaultRowHeight="14.5" x14ac:dyDescent="0.35"/>
  <cols>
    <col min="1" max="4" width="70" customWidth="1"/>
  </cols>
  <sheetData>
    <row r="1" spans="1:4" ht="20" x14ac:dyDescent="0.4">
      <c r="A1" s="4" t="s">
        <v>1026</v>
      </c>
    </row>
    <row r="3" spans="1:4" x14ac:dyDescent="0.35">
      <c r="A3" s="6" t="s">
        <v>1027</v>
      </c>
      <c r="B3" s="6" t="s">
        <v>1028</v>
      </c>
      <c r="C3" s="6" t="s">
        <v>1029</v>
      </c>
      <c r="D3" s="6" t="s">
        <v>1030</v>
      </c>
    </row>
    <row r="4" spans="1:4" ht="28" x14ac:dyDescent="0.35">
      <c r="A4" s="7" t="s">
        <v>1031</v>
      </c>
      <c r="B4" s="7" t="s">
        <v>1032</v>
      </c>
      <c r="C4" s="7" t="s">
        <v>1033</v>
      </c>
      <c r="D4" s="7" t="s">
        <v>1034</v>
      </c>
    </row>
    <row r="5" spans="1:4" ht="28" x14ac:dyDescent="0.35">
      <c r="A5" s="7" t="s">
        <v>1035</v>
      </c>
      <c r="B5" s="7" t="s">
        <v>1036</v>
      </c>
      <c r="C5" s="7" t="s">
        <v>1037</v>
      </c>
      <c r="D5" s="7" t="s">
        <v>1038</v>
      </c>
    </row>
    <row r="6" spans="1:4" ht="42" x14ac:dyDescent="0.35">
      <c r="A6" s="7" t="s">
        <v>1039</v>
      </c>
      <c r="B6" s="7" t="s">
        <v>1040</v>
      </c>
      <c r="C6" s="7" t="s">
        <v>1041</v>
      </c>
      <c r="D6" s="7" t="s">
        <v>1042</v>
      </c>
    </row>
    <row r="7" spans="1:4" ht="84" x14ac:dyDescent="0.35">
      <c r="A7" s="7" t="s">
        <v>535</v>
      </c>
      <c r="B7" s="7" t="s">
        <v>1043</v>
      </c>
      <c r="C7" s="7" t="s">
        <v>1044</v>
      </c>
      <c r="D7" s="7" t="s">
        <v>1045</v>
      </c>
    </row>
    <row r="8" spans="1:4" ht="42" x14ac:dyDescent="0.35">
      <c r="A8" s="7" t="s">
        <v>1046</v>
      </c>
      <c r="B8" s="7" t="s">
        <v>1047</v>
      </c>
      <c r="C8" s="7" t="s">
        <v>1048</v>
      </c>
      <c r="D8" s="7" t="s">
        <v>1049</v>
      </c>
    </row>
    <row r="9" spans="1:4" ht="84" x14ac:dyDescent="0.35">
      <c r="A9" s="7" t="s">
        <v>547</v>
      </c>
      <c r="B9" s="7" t="s">
        <v>1050</v>
      </c>
      <c r="C9" s="7" t="s">
        <v>1051</v>
      </c>
      <c r="D9" s="7" t="s">
        <v>1052</v>
      </c>
    </row>
    <row r="11" spans="1:4" x14ac:dyDescent="0.35">
      <c r="A11" s="12" t="s">
        <v>1053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9"/>
  <sheetViews>
    <sheetView workbookViewId="0"/>
  </sheetViews>
  <sheetFormatPr defaultRowHeight="14.5" x14ac:dyDescent="0.35"/>
  <cols>
    <col min="1" max="1" width="39" customWidth="1"/>
    <col min="2" max="2" width="70" customWidth="1"/>
  </cols>
  <sheetData>
    <row r="1" spans="1:2" ht="20" x14ac:dyDescent="0.4">
      <c r="A1" s="4" t="s">
        <v>1054</v>
      </c>
    </row>
    <row r="3" spans="1:2" x14ac:dyDescent="0.35">
      <c r="A3" s="6" t="s">
        <v>1055</v>
      </c>
      <c r="B3" s="6" t="s">
        <v>1056</v>
      </c>
    </row>
    <row r="4" spans="1:2" x14ac:dyDescent="0.35">
      <c r="A4" s="7" t="s">
        <v>1057</v>
      </c>
      <c r="B4" s="7" t="s">
        <v>1058</v>
      </c>
    </row>
    <row r="5" spans="1:2" ht="28" x14ac:dyDescent="0.35">
      <c r="A5" s="7" t="s">
        <v>1059</v>
      </c>
      <c r="B5" s="7" t="s">
        <v>1060</v>
      </c>
    </row>
    <row r="6" spans="1:2" x14ac:dyDescent="0.35">
      <c r="A6" s="7" t="s">
        <v>1061</v>
      </c>
      <c r="B6" s="7" t="s">
        <v>1062</v>
      </c>
    </row>
    <row r="7" spans="1:2" x14ac:dyDescent="0.35">
      <c r="A7" s="7" t="s">
        <v>1063</v>
      </c>
      <c r="B7" s="7" t="s">
        <v>1064</v>
      </c>
    </row>
    <row r="8" spans="1:2" x14ac:dyDescent="0.35">
      <c r="A8" s="7" t="s">
        <v>1065</v>
      </c>
      <c r="B8" s="7" t="s">
        <v>1066</v>
      </c>
    </row>
    <row r="9" spans="1:2" x14ac:dyDescent="0.35">
      <c r="A9" s="7" t="s">
        <v>1067</v>
      </c>
      <c r="B9" s="7" t="s">
        <v>1068</v>
      </c>
    </row>
    <row r="10" spans="1:2" x14ac:dyDescent="0.35">
      <c r="A10" s="7" t="s">
        <v>1069</v>
      </c>
      <c r="B10" s="7" t="s">
        <v>1070</v>
      </c>
    </row>
    <row r="11" spans="1:2" x14ac:dyDescent="0.35">
      <c r="A11" s="7" t="s">
        <v>1071</v>
      </c>
      <c r="B11" s="7" t="s">
        <v>1072</v>
      </c>
    </row>
    <row r="12" spans="1:2" x14ac:dyDescent="0.35">
      <c r="A12" s="7" t="s">
        <v>1073</v>
      </c>
      <c r="B12" s="7" t="s">
        <v>1074</v>
      </c>
    </row>
    <row r="13" spans="1:2" ht="42" x14ac:dyDescent="0.35">
      <c r="A13" s="7" t="s">
        <v>1075</v>
      </c>
      <c r="B13" s="7" t="s">
        <v>1076</v>
      </c>
    </row>
    <row r="14" spans="1:2" x14ac:dyDescent="0.35">
      <c r="A14" s="7" t="s">
        <v>1077</v>
      </c>
      <c r="B14" s="7" t="s">
        <v>1078</v>
      </c>
    </row>
    <row r="15" spans="1:2" x14ac:dyDescent="0.35">
      <c r="A15" s="7" t="s">
        <v>1079</v>
      </c>
      <c r="B15" s="7" t="s">
        <v>1080</v>
      </c>
    </row>
    <row r="16" spans="1:2" ht="28" x14ac:dyDescent="0.35">
      <c r="A16" s="7" t="s">
        <v>1081</v>
      </c>
      <c r="B16" s="7" t="s">
        <v>1082</v>
      </c>
    </row>
    <row r="17" spans="1:2" x14ac:dyDescent="0.35">
      <c r="A17" s="7" t="s">
        <v>1083</v>
      </c>
      <c r="B17" s="7" t="s">
        <v>1084</v>
      </c>
    </row>
    <row r="18" spans="1:2" x14ac:dyDescent="0.35">
      <c r="A18" s="7" t="s">
        <v>1085</v>
      </c>
      <c r="B18" s="7" t="s">
        <v>1086</v>
      </c>
    </row>
    <row r="19" spans="1:2" x14ac:dyDescent="0.35">
      <c r="A19" s="7" t="s">
        <v>1087</v>
      </c>
      <c r="B19" s="7" t="s">
        <v>1088</v>
      </c>
    </row>
    <row r="20" spans="1:2" x14ac:dyDescent="0.35">
      <c r="A20" s="7" t="s">
        <v>1089</v>
      </c>
      <c r="B20" s="7" t="s">
        <v>1090</v>
      </c>
    </row>
    <row r="21" spans="1:2" x14ac:dyDescent="0.35">
      <c r="A21" s="7" t="s">
        <v>1091</v>
      </c>
      <c r="B21" s="7" t="s">
        <v>1092</v>
      </c>
    </row>
    <row r="22" spans="1:2" x14ac:dyDescent="0.35">
      <c r="A22" s="7" t="s">
        <v>1093</v>
      </c>
      <c r="B22" s="7" t="s">
        <v>1094</v>
      </c>
    </row>
    <row r="23" spans="1:2" x14ac:dyDescent="0.35">
      <c r="A23" s="7" t="s">
        <v>1095</v>
      </c>
      <c r="B23" s="7" t="s">
        <v>1096</v>
      </c>
    </row>
    <row r="24" spans="1:2" x14ac:dyDescent="0.35">
      <c r="A24" s="7" t="s">
        <v>1097</v>
      </c>
      <c r="B24" s="7" t="s">
        <v>1098</v>
      </c>
    </row>
    <row r="25" spans="1:2" x14ac:dyDescent="0.35">
      <c r="A25" s="7" t="s">
        <v>1099</v>
      </c>
      <c r="B25" s="7" t="s">
        <v>1100</v>
      </c>
    </row>
    <row r="26" spans="1:2" x14ac:dyDescent="0.35">
      <c r="A26" s="7" t="s">
        <v>1101</v>
      </c>
      <c r="B26" s="7" t="s">
        <v>1102</v>
      </c>
    </row>
    <row r="27" spans="1:2" x14ac:dyDescent="0.35">
      <c r="A27" s="7" t="s">
        <v>1103</v>
      </c>
      <c r="B27" s="7" t="s">
        <v>1104</v>
      </c>
    </row>
    <row r="28" spans="1:2" x14ac:dyDescent="0.35">
      <c r="A28" s="7" t="s">
        <v>1105</v>
      </c>
      <c r="B28" s="7" t="s">
        <v>1106</v>
      </c>
    </row>
    <row r="29" spans="1:2" x14ac:dyDescent="0.35">
      <c r="A29" s="7" t="s">
        <v>1107</v>
      </c>
      <c r="B29" s="7" t="s">
        <v>1108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4"/>
  <sheetViews>
    <sheetView workbookViewId="0"/>
  </sheetViews>
  <sheetFormatPr defaultRowHeight="14.5" x14ac:dyDescent="0.35"/>
  <cols>
    <col min="1" max="1" width="9" customWidth="1"/>
    <col min="2" max="2" width="70" customWidth="1"/>
    <col min="3" max="3" width="33" customWidth="1"/>
  </cols>
  <sheetData>
    <row r="1" spans="1:3" ht="20" x14ac:dyDescent="0.4">
      <c r="A1" s="4" t="s">
        <v>1109</v>
      </c>
    </row>
    <row r="3" spans="1:3" x14ac:dyDescent="0.35">
      <c r="A3" s="6" t="s">
        <v>18</v>
      </c>
      <c r="B3" s="6" t="s">
        <v>21</v>
      </c>
      <c r="C3" s="6" t="s">
        <v>1110</v>
      </c>
    </row>
    <row r="4" spans="1:3" x14ac:dyDescent="0.35">
      <c r="A4" s="7" t="s">
        <v>403</v>
      </c>
      <c r="B4" s="7" t="s">
        <v>405</v>
      </c>
      <c r="C4" s="7" t="s">
        <v>1111</v>
      </c>
    </row>
    <row r="5" spans="1:3" ht="28" x14ac:dyDescent="0.35">
      <c r="A5" s="7" t="s">
        <v>407</v>
      </c>
      <c r="B5" s="7" t="s">
        <v>408</v>
      </c>
      <c r="C5" s="7" t="s">
        <v>1112</v>
      </c>
    </row>
    <row r="6" spans="1:3" x14ac:dyDescent="0.35">
      <c r="A6" s="7" t="s">
        <v>409</v>
      </c>
      <c r="B6" s="7" t="s">
        <v>410</v>
      </c>
      <c r="C6" s="7" t="s">
        <v>1113</v>
      </c>
    </row>
    <row r="7" spans="1:3" x14ac:dyDescent="0.35">
      <c r="A7" s="7" t="s">
        <v>411</v>
      </c>
      <c r="B7" s="7" t="s">
        <v>412</v>
      </c>
      <c r="C7" s="7" t="s">
        <v>1114</v>
      </c>
    </row>
    <row r="8" spans="1:3" x14ac:dyDescent="0.35">
      <c r="A8" s="7" t="s">
        <v>413</v>
      </c>
      <c r="B8" s="7" t="s">
        <v>414</v>
      </c>
      <c r="C8" s="7" t="s">
        <v>1115</v>
      </c>
    </row>
    <row r="9" spans="1:3" x14ac:dyDescent="0.35">
      <c r="A9" s="7" t="s">
        <v>415</v>
      </c>
      <c r="B9" s="7" t="s">
        <v>416</v>
      </c>
      <c r="C9" s="7" t="s">
        <v>1116</v>
      </c>
    </row>
    <row r="10" spans="1:3" ht="42" x14ac:dyDescent="0.35">
      <c r="A10" s="7" t="s">
        <v>419</v>
      </c>
      <c r="B10" s="7" t="s">
        <v>420</v>
      </c>
      <c r="C10" s="7" t="s">
        <v>1117</v>
      </c>
    </row>
    <row r="11" spans="1:3" ht="56" x14ac:dyDescent="0.35">
      <c r="A11" s="7" t="s">
        <v>421</v>
      </c>
      <c r="B11" s="7" t="s">
        <v>422</v>
      </c>
      <c r="C11" s="7" t="s">
        <v>1118</v>
      </c>
    </row>
    <row r="12" spans="1:3" ht="28" x14ac:dyDescent="0.35">
      <c r="A12" s="7" t="s">
        <v>423</v>
      </c>
      <c r="B12" s="7" t="s">
        <v>424</v>
      </c>
      <c r="C12" s="7" t="s">
        <v>1119</v>
      </c>
    </row>
    <row r="13" spans="1:3" ht="28" x14ac:dyDescent="0.35">
      <c r="A13" s="7" t="s">
        <v>425</v>
      </c>
      <c r="B13" s="7" t="s">
        <v>426</v>
      </c>
      <c r="C13" s="7" t="s">
        <v>1120</v>
      </c>
    </row>
    <row r="14" spans="1:3" x14ac:dyDescent="0.35">
      <c r="A14" s="7" t="s">
        <v>417</v>
      </c>
      <c r="B14" s="7" t="s">
        <v>418</v>
      </c>
      <c r="C14" s="7" t="s">
        <v>1121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5"/>
  <sheetViews>
    <sheetView workbookViewId="0"/>
  </sheetViews>
  <sheetFormatPr defaultRowHeight="14.5" x14ac:dyDescent="0.35"/>
  <cols>
    <col min="1" max="1" width="40" customWidth="1"/>
    <col min="2" max="3" width="70" customWidth="1"/>
  </cols>
  <sheetData>
    <row r="1" spans="1:3" ht="20" x14ac:dyDescent="0.4">
      <c r="A1" s="4" t="s">
        <v>1122</v>
      </c>
    </row>
    <row r="3" spans="1:3" x14ac:dyDescent="0.35">
      <c r="A3" s="6" t="s">
        <v>909</v>
      </c>
      <c r="B3" s="6" t="s">
        <v>1123</v>
      </c>
      <c r="C3" s="6" t="s">
        <v>1124</v>
      </c>
    </row>
    <row r="4" spans="1:3" x14ac:dyDescent="0.35">
      <c r="A4" s="7" t="s">
        <v>1125</v>
      </c>
      <c r="B4" s="7" t="s">
        <v>1126</v>
      </c>
      <c r="C4" s="7" t="s">
        <v>1127</v>
      </c>
    </row>
    <row r="5" spans="1:3" x14ac:dyDescent="0.35">
      <c r="A5" s="7" t="s">
        <v>1128</v>
      </c>
      <c r="B5" s="7" t="s">
        <v>1129</v>
      </c>
      <c r="C5" s="7" t="s">
        <v>1130</v>
      </c>
    </row>
    <row r="6" spans="1:3" ht="42" x14ac:dyDescent="0.35">
      <c r="A6" s="7" t="s">
        <v>1131</v>
      </c>
      <c r="B6" s="7" t="s">
        <v>1132</v>
      </c>
      <c r="C6" s="7" t="s">
        <v>1133</v>
      </c>
    </row>
    <row r="7" spans="1:3" ht="56" x14ac:dyDescent="0.35">
      <c r="A7" s="7" t="s">
        <v>1134</v>
      </c>
      <c r="B7" s="7" t="s">
        <v>1135</v>
      </c>
      <c r="C7" s="7" t="s">
        <v>1136</v>
      </c>
    </row>
    <row r="8" spans="1:3" ht="70" x14ac:dyDescent="0.35">
      <c r="A8" s="7" t="s">
        <v>1137</v>
      </c>
      <c r="B8" s="7" t="s">
        <v>1138</v>
      </c>
      <c r="C8" s="7" t="s">
        <v>1139</v>
      </c>
    </row>
    <row r="9" spans="1:3" ht="56" x14ac:dyDescent="0.35">
      <c r="A9" s="7" t="s">
        <v>1140</v>
      </c>
      <c r="B9" s="7" t="s">
        <v>1141</v>
      </c>
      <c r="C9" s="7" t="s">
        <v>1142</v>
      </c>
    </row>
    <row r="10" spans="1:3" x14ac:dyDescent="0.35">
      <c r="A10" s="7" t="s">
        <v>1143</v>
      </c>
      <c r="B10" s="7" t="s">
        <v>1144</v>
      </c>
      <c r="C10" s="7" t="s">
        <v>1145</v>
      </c>
    </row>
    <row r="11" spans="1:3" ht="28" x14ac:dyDescent="0.35">
      <c r="A11" s="7" t="s">
        <v>1146</v>
      </c>
      <c r="B11" s="7" t="s">
        <v>1147</v>
      </c>
      <c r="C11" s="7" t="s">
        <v>1148</v>
      </c>
    </row>
    <row r="12" spans="1:3" x14ac:dyDescent="0.35">
      <c r="A12" s="7" t="s">
        <v>1149</v>
      </c>
      <c r="B12" s="7" t="s">
        <v>1150</v>
      </c>
      <c r="C12" s="7" t="s">
        <v>1151</v>
      </c>
    </row>
    <row r="13" spans="1:3" ht="42" x14ac:dyDescent="0.35">
      <c r="A13" s="7" t="s">
        <v>1152</v>
      </c>
      <c r="B13" s="7" t="s">
        <v>1135</v>
      </c>
      <c r="C13" s="7" t="s">
        <v>1153</v>
      </c>
    </row>
    <row r="14" spans="1:3" ht="28" x14ac:dyDescent="0.35">
      <c r="A14" s="7" t="s">
        <v>357</v>
      </c>
      <c r="B14" s="7" t="s">
        <v>1135</v>
      </c>
      <c r="C14" s="7" t="s">
        <v>1154</v>
      </c>
    </row>
    <row r="15" spans="1:3" x14ac:dyDescent="0.35">
      <c r="A15" s="7" t="s">
        <v>363</v>
      </c>
      <c r="B15" s="7" t="s">
        <v>464</v>
      </c>
      <c r="C15" s="7" t="s">
        <v>1155</v>
      </c>
    </row>
    <row r="16" spans="1:3" x14ac:dyDescent="0.35">
      <c r="A16" s="7" t="s">
        <v>1156</v>
      </c>
      <c r="B16" s="7" t="s">
        <v>1157</v>
      </c>
      <c r="C16" s="7" t="s">
        <v>1158</v>
      </c>
    </row>
    <row r="17" spans="1:3" x14ac:dyDescent="0.35">
      <c r="A17" s="7" t="s">
        <v>248</v>
      </c>
      <c r="B17" s="7" t="s">
        <v>1159</v>
      </c>
      <c r="C17" s="7" t="s">
        <v>1160</v>
      </c>
    </row>
    <row r="18" spans="1:3" x14ac:dyDescent="0.35">
      <c r="A18" s="7" t="s">
        <v>1161</v>
      </c>
      <c r="B18" s="7" t="s">
        <v>464</v>
      </c>
      <c r="C18" s="7" t="s">
        <v>1162</v>
      </c>
    </row>
    <row r="19" spans="1:3" x14ac:dyDescent="0.35">
      <c r="A19" s="7" t="s">
        <v>719</v>
      </c>
      <c r="B19" s="7" t="s">
        <v>661</v>
      </c>
      <c r="C19" s="7" t="s">
        <v>1163</v>
      </c>
    </row>
    <row r="20" spans="1:3" ht="28" x14ac:dyDescent="0.35">
      <c r="A20" s="7" t="s">
        <v>1164</v>
      </c>
      <c r="B20" s="7" t="s">
        <v>1165</v>
      </c>
      <c r="C20" s="7" t="s">
        <v>1166</v>
      </c>
    </row>
    <row r="21" spans="1:3" ht="28" x14ac:dyDescent="0.35">
      <c r="A21" s="7" t="s">
        <v>1167</v>
      </c>
      <c r="B21" s="7" t="s">
        <v>1150</v>
      </c>
      <c r="C21" s="7" t="s">
        <v>1168</v>
      </c>
    </row>
    <row r="22" spans="1:3" ht="28" x14ac:dyDescent="0.35">
      <c r="A22" s="7" t="s">
        <v>1169</v>
      </c>
      <c r="B22" s="7" t="s">
        <v>1170</v>
      </c>
      <c r="C22" s="7" t="s">
        <v>1171</v>
      </c>
    </row>
    <row r="23" spans="1:3" x14ac:dyDescent="0.35">
      <c r="A23" s="7" t="s">
        <v>188</v>
      </c>
      <c r="B23" s="7" t="s">
        <v>1172</v>
      </c>
      <c r="C23" s="7" t="s">
        <v>1173</v>
      </c>
    </row>
    <row r="24" spans="1:3" ht="56" x14ac:dyDescent="0.35">
      <c r="A24" s="7" t="s">
        <v>1174</v>
      </c>
      <c r="B24" s="7" t="s">
        <v>1175</v>
      </c>
      <c r="C24" s="7" t="s">
        <v>1176</v>
      </c>
    </row>
    <row r="25" spans="1:3" ht="28" x14ac:dyDescent="0.35">
      <c r="A25" s="7" t="s">
        <v>1177</v>
      </c>
      <c r="B25" s="7" t="s">
        <v>1178</v>
      </c>
      <c r="C25" s="7" t="s">
        <v>1179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Read Me</vt:lpstr>
      <vt:lpstr>Requirements Register</vt:lpstr>
      <vt:lpstr>Traceability</vt:lpstr>
      <vt:lpstr>HLRD 1. Executive summary</vt:lpstr>
      <vt:lpstr>HLRD 2. Discovery</vt:lpstr>
      <vt:lpstr>HLRD 3. As-Is</vt:lpstr>
      <vt:lpstr>HLRD 4. To-Be</vt:lpstr>
      <vt:lpstr>HLRD 5. Scope</vt:lpstr>
      <vt:lpstr>HLRD 6. High-level reqs</vt:lpstr>
      <vt:lpstr>HLRD 7. Stakeholders and RACI</vt:lpstr>
      <vt:lpstr>HLRD 8. Dependencies</vt:lpstr>
      <vt:lpstr>HLRD 9. Risks</vt:lpstr>
      <vt:lpstr>HLRD 10. Acceptance (MVP)</vt:lpstr>
      <vt:lpstr>LLRD 1. Detailed discovery</vt:lpstr>
      <vt:lpstr>LLRD 2. As-Is to To-Be</vt:lpstr>
      <vt:lpstr>LLRD 3. Functional reqs</vt:lpstr>
      <vt:lpstr>LLRD 4. Screen reqs</vt:lpstr>
      <vt:lpstr>LLRD 5. User-facing messages</vt:lpstr>
      <vt:lpstr>LLRD 6. Non-functional reqs</vt:lpstr>
      <vt:lpstr>LLRD 7. Traceability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Mansi Gupta</cp:lastModifiedBy>
  <dcterms:created xsi:type="dcterms:W3CDTF">2026-09-29T01:52:00Z</dcterms:created>
  <dcterms:modified xsi:type="dcterms:W3CDTF">2026-09-29T01:52:14Z</dcterms:modified>
</cp:coreProperties>
</file>