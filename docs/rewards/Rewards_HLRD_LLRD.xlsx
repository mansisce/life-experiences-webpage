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equirements Register" sheetId="2" state="visible" r:id="rId2"/>
    <sheet name="Traceability" sheetId="3" state="visible" r:id="rId3"/>
    <sheet name="HLRD 1. Executive summary" sheetId="4" state="visible" r:id="rId4"/>
    <sheet name="HLRD 2. Discovery" sheetId="5" state="visible" r:id="rId5"/>
    <sheet name="HLRD 3. As-Is" sheetId="6" state="visible" r:id="rId6"/>
    <sheet name="HLRD 4. To-Be" sheetId="7" state="visible" r:id="rId7"/>
    <sheet name="HLRD 5. Scope" sheetId="8" state="visible" r:id="rId8"/>
    <sheet name="HLRD 6. High-level reqs" sheetId="9" state="visible" r:id="rId9"/>
    <sheet name="HLRD 7. Stakeholders and RACI" sheetId="10" state="visible" r:id="rId10"/>
    <sheet name="HLRD 8. Dependencies" sheetId="11" state="visible" r:id="rId11"/>
    <sheet name="HLRD 9. Risks" sheetId="12" state="visible" r:id="rId12"/>
    <sheet name="HLRD 10. Acceptance (MVP)" sheetId="13" state="visible" r:id="rId13"/>
    <sheet name="LLRD 1. Detailed discovery" sheetId="14" state="visible" r:id="rId14"/>
    <sheet name="LLRD 2. As-Is to To-Be" sheetId="15" state="visible" r:id="rId15"/>
    <sheet name="LLRD 3. Functional reqs" sheetId="16" state="visible" r:id="rId16"/>
    <sheet name="LLRD 4. Screen reqs" sheetId="17" state="visible" r:id="rId17"/>
    <sheet name="LLRD 5. User-facing messages" sheetId="18" state="visible" r:id="rId18"/>
    <sheet name="LLRD 6. Non-functional reqs" sheetId="19" state="visible" r:id="rId19"/>
    <sheet name="LLRD 7. Traceability matrix" sheetId="20" state="visible" r:id="rId20"/>
  </sheets>
  <definedNames>
    <definedName name="_xlnm._FilterDatabase" localSheetId="1" hidden="1">'Requirements Register'!$A$4:$J$208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404040"/>
    </font>
    <font>
      <name val="Arial"/>
      <b val="1"/>
      <color rgb="001A1A1A"/>
      <sz val="12"/>
    </font>
    <font>
      <name val="Arial"/>
      <i val="1"/>
      <color rgb="00404040"/>
    </font>
    <font>
      <name val="Arial"/>
      <b val="1"/>
      <color rgb="00FFFFFF"/>
    </font>
    <font>
      <name val="Arial"/>
      <b val="1"/>
      <color rgb="001A1A1A"/>
    </font>
  </fonts>
  <fills count="5">
    <fill>
      <patternFill/>
    </fill>
    <fill>
      <patternFill patternType="gray125"/>
    </fill>
    <fill>
      <patternFill patternType="solid">
        <fgColor rgb="00F0F5FD"/>
      </patternFill>
    </fill>
    <fill>
      <patternFill patternType="solid">
        <fgColor rgb="00305BAB"/>
      </patternFill>
    </fill>
    <fill>
      <patternFill patternType="solid">
        <fgColor rgb="00FFF6B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="10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Rewards Microfrontend: HLRD and LLRD workbook</t>
        </is>
      </c>
    </row>
    <row r="2">
      <c r="A2" s="2" t="inlineStr">
        <is>
          <t>Generated 2026-10-03 from docs/rewards/HLRD.md and docs/rewards/LLRD.md.</t>
        </is>
      </c>
    </row>
    <row r="3">
      <c r="A3" s="2" t="inlineStr"/>
    </row>
    <row r="4">
      <c r="A4" s="3" t="inlineStr">
        <is>
          <t>How to use this workbook</t>
        </is>
      </c>
    </row>
    <row r="5">
      <c r="A5" s="2" t="inlineStr">
        <is>
          <t>• Requirements Register: one row per requirement. Edit the yellow columns (Requirement, Status, Priority, Owner, Success measure, Notes). Status and Priority are dropdowns.</t>
        </is>
      </c>
    </row>
    <row r="6">
      <c r="A6" s="2" t="inlineStr">
        <is>
          <t>• To add a requirement, add a row at the bottom of the register: give it an ID (e.g. LLR-4.19) and a Parent epic (e.g. HLR-9); the Traceability tab counts it automatically.</t>
        </is>
      </c>
    </row>
    <row r="7">
      <c r="A7" s="2" t="inlineStr">
        <is>
          <t>• Traceability: live formulas per epic (how many requirements, how many built). Don't type over it.</t>
        </is>
      </c>
    </row>
    <row r="8">
      <c r="A8" s="2" t="inlineStr">
        <is>
          <t>• HLRD / LLRD tabs: each section of the documents with its tables, for reading and light edits.</t>
        </is>
      </c>
    </row>
    <row r="9">
      <c r="A9" s="2" t="inlineStr">
        <is>
          <t>• The markdown files remain the source of truth. After editing here, ask Claude to sync your changes back into the markdown (and Miro).</t>
        </is>
      </c>
    </row>
    <row r="10">
      <c r="A10" s="2" t="inlineStr"/>
    </row>
    <row r="11">
      <c r="A11" s="3" t="inlineStr">
        <is>
          <t>Status values</t>
        </is>
      </c>
    </row>
    <row r="12">
      <c r="A12" s="2" t="inlineStr">
        <is>
          <t>Built &amp; tested: implemented with automated tests</t>
        </is>
      </c>
    </row>
    <row r="13">
      <c r="A13" s="2" t="inlineStr">
        <is>
          <t>Built (manual test): implemented, verified by hand in the browser</t>
        </is>
      </c>
    </row>
    <row r="14">
      <c r="A14" s="2" t="inlineStr">
        <is>
          <t>Next: agreed and scheduled next (e.g. HLR-9 reward scope, migrations)</t>
        </is>
      </c>
    </row>
    <row r="15">
      <c r="A15" s="2" t="inlineStr">
        <is>
          <t>Planned: post-MVP (e.g. AI photo suggestions)</t>
        </is>
      </c>
    </row>
    <row r="16">
      <c r="A16" s="2" t="inlineStr">
        <is>
          <t>Out of scope: explicitly not being built</t>
        </is>
      </c>
    </row>
    <row r="17">
      <c r="A17" s="2" t="inlineStr"/>
    </row>
    <row r="18">
      <c r="A18" s="3" t="inlineStr">
        <is>
          <t>Example register row</t>
        </is>
      </c>
    </row>
    <row r="19">
      <c r="A19" s="2" t="inlineStr">
        <is>
          <t>LLR-4.19 | Functional (LLR) | HLR-9 | Reward cards show how many days are left to keep a streak reward alive | Next | Should | Mansi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0" customWidth="1" min="4" max="4"/>
    <col width="20" customWidth="1" min="5" max="5"/>
    <col width="12" customWidth="1" min="6" max="6"/>
    <col width="14" customWidth="1" min="7" max="7"/>
    <col width="40" customWidth="1" min="8" max="8"/>
    <col width="40" customWidth="1" min="9" max="9"/>
    <col width="34" customWidth="1" min="10" max="10"/>
  </cols>
  <sheetData>
    <row r="1">
      <c r="A1" s="4" t="inlineStr">
        <is>
          <t>Requirements Register</t>
        </is>
      </c>
    </row>
    <row r="2">
      <c r="A2" s="5" t="inlineStr">
        <is>
          <t>One row per requirement. Yellow columns are yours to edit; Status and Priority have dropdowns.</t>
        </is>
      </c>
    </row>
    <row r="4">
      <c r="A4" s="6" t="inlineStr">
        <is>
          <t>ID</t>
        </is>
      </c>
      <c r="B4" s="6" t="inlineStr">
        <is>
          <t>Type</t>
        </is>
      </c>
      <c r="C4" s="6" t="inlineStr">
        <is>
          <t>Parent epic</t>
        </is>
      </c>
      <c r="D4" s="6" t="inlineStr">
        <is>
          <t>Requirement</t>
        </is>
      </c>
      <c r="E4" s="6" t="inlineStr">
        <is>
          <t>Status</t>
        </is>
      </c>
      <c r="F4" s="6" t="inlineStr">
        <is>
          <t>Priority</t>
        </is>
      </c>
      <c r="G4" s="6" t="inlineStr">
        <is>
          <t>Owner</t>
        </is>
      </c>
      <c r="H4" s="6" t="inlineStr">
        <is>
          <t>Success measure / acceptance</t>
        </is>
      </c>
      <c r="I4" s="6" t="inlineStr">
        <is>
          <t>Notes</t>
        </is>
      </c>
      <c r="J4" s="6" t="inlineStr">
        <is>
          <t>Source</t>
        </is>
      </c>
    </row>
    <row r="5">
      <c r="A5" s="7" t="inlineStr">
        <is>
          <t>BR-1</t>
        </is>
      </c>
      <c r="B5" s="7" t="inlineStr">
        <is>
          <t>Business requirement</t>
        </is>
      </c>
      <c r="C5" s="7" t="inlineStr"/>
      <c r="D5" s="8" t="inlineStr">
        <is>
          <t>Make recurring upkeep visible and motivating</t>
        </is>
      </c>
      <c r="E5" s="8" t="inlineStr"/>
      <c r="F5" s="8" t="inlineStr">
        <is>
          <t>Should</t>
        </is>
      </c>
      <c r="G5" s="8" t="inlineStr">
        <is>
          <t>Mansi</t>
        </is>
      </c>
      <c r="H5" s="8" t="inlineStr">
        <is>
          <t>≥ 3 active streaks maintained for 2 weeks in personal use</t>
        </is>
      </c>
      <c r="I5" s="8" t="inlineStr"/>
      <c r="J5" s="7" t="inlineStr">
        <is>
          <t>HLRD › 6. High-level requirements</t>
        </is>
      </c>
    </row>
    <row r="6">
      <c r="A6" s="7" t="inlineStr">
        <is>
          <t>BR-2</t>
        </is>
      </c>
      <c r="B6" s="7" t="inlineStr">
        <is>
          <t>Business requirement</t>
        </is>
      </c>
      <c r="C6" s="7" t="inlineStr"/>
      <c r="D6" s="8" t="inlineStr">
        <is>
          <t>Reduce effort to decide what to do in an area</t>
        </is>
      </c>
      <c r="E6" s="8" t="inlineStr"/>
      <c r="F6" s="8" t="inlineStr">
        <is>
          <t>Should</t>
        </is>
      </c>
      <c r="G6" s="8" t="inlineStr">
        <is>
          <t>Mansi</t>
        </is>
      </c>
      <c r="H6" s="8" t="inlineStr">
        <is>
          <t>Post-MVP: ≥ 50 % of AI suggestions marked Relevant</t>
        </is>
      </c>
      <c r="I6" s="8" t="inlineStr"/>
      <c r="J6" s="7" t="inlineStr">
        <is>
          <t>HLRD › 6. High-level requirements</t>
        </is>
      </c>
    </row>
    <row r="7">
      <c r="A7" s="7" t="inlineStr">
        <is>
          <t>BR-3</t>
        </is>
      </c>
      <c r="B7" s="7" t="inlineStr">
        <is>
          <t>Business requirement</t>
        </is>
      </c>
      <c r="C7" s="7" t="inlineStr"/>
      <c r="D7" s="8" t="inlineStr">
        <is>
          <t>Provide weekly insight into effort distribution</t>
        </is>
      </c>
      <c r="E7" s="8" t="inlineStr"/>
      <c r="F7" s="8" t="inlineStr">
        <is>
          <t>Should</t>
        </is>
      </c>
      <c r="G7" s="8" t="inlineStr">
        <is>
          <t>Mansi</t>
        </is>
      </c>
      <c r="H7" s="8" t="inlineStr">
        <is>
          <t>Weekly review done from the dashboard in &lt; 2 min</t>
        </is>
      </c>
      <c r="I7" s="8" t="inlineStr"/>
      <c r="J7" s="7" t="inlineStr">
        <is>
          <t>HLRD › 6. High-level requirements</t>
        </is>
      </c>
    </row>
    <row r="8">
      <c r="A8" s="7" t="inlineStr">
        <is>
          <t>BR-4</t>
        </is>
      </c>
      <c r="B8" s="7" t="inlineStr">
        <is>
          <t>Business requirement</t>
        </is>
      </c>
      <c r="C8" s="7" t="inlineStr"/>
      <c r="D8" s="8" t="inlineStr">
        <is>
          <t>Demonstrate MFE, BFF, integration and data-app principles (capstone)</t>
        </is>
      </c>
      <c r="E8" s="8" t="inlineStr"/>
      <c r="F8" s="8" t="inlineStr">
        <is>
          <t>Should</t>
        </is>
      </c>
      <c r="G8" s="8" t="inlineStr">
        <is>
          <t>Mansi</t>
        </is>
      </c>
      <c r="H8" s="8" t="inlineStr">
        <is>
          <t>3-minute demo script runs end to end</t>
        </is>
      </c>
      <c r="I8" s="8" t="inlineStr"/>
      <c r="J8" s="7" t="inlineStr">
        <is>
          <t>HLRD › 6. High-level requirements</t>
        </is>
      </c>
    </row>
    <row r="9">
      <c r="A9" s="7" t="inlineStr">
        <is>
          <t>BR-5</t>
        </is>
      </c>
      <c r="B9" s="7" t="inlineStr">
        <is>
          <t>Business requirement</t>
        </is>
      </c>
      <c r="C9" s="7" t="inlineStr"/>
      <c r="D9" s="8" t="inlineStr">
        <is>
          <t>Be ready for an Android client without backend rewrite</t>
        </is>
      </c>
      <c r="E9" s="8" t="inlineStr"/>
      <c r="F9" s="8" t="inlineStr">
        <is>
          <t>Should</t>
        </is>
      </c>
      <c r="G9" s="8" t="inlineStr">
        <is>
          <t>Mansi</t>
        </is>
      </c>
      <c r="H9" s="8" t="inlineStr">
        <is>
          <t>All user actions available via documented API (OpenAPI)</t>
        </is>
      </c>
      <c r="I9" s="8" t="inlineStr"/>
      <c r="J9" s="7" t="inlineStr">
        <is>
          <t>HLRD › 6. High-level requirements</t>
        </is>
      </c>
    </row>
    <row r="10">
      <c r="A10" s="7" t="inlineStr">
        <is>
          <t>HLR-1</t>
        </is>
      </c>
      <c r="B10" s="7" t="inlineStr">
        <is>
          <t>Epic (HLR)</t>
        </is>
      </c>
      <c r="C10" s="7" t="inlineStr"/>
      <c r="D10" s="8" t="inlineStr">
        <is>
          <t>Tiles &amp; areas: User-managed tiles and areas (create, edit, reorder, delete); empty start with an optional starter set</t>
        </is>
      </c>
      <c r="E10" s="8" t="inlineStr">
        <is>
          <t>Built &amp; tested</t>
        </is>
      </c>
      <c r="F10" s="8" t="inlineStr">
        <is>
          <t>Must</t>
        </is>
      </c>
      <c r="G10" s="8" t="inlineStr">
        <is>
          <t>Mansi</t>
        </is>
      </c>
      <c r="H10" s="8" t="inlineStr"/>
      <c r="I10" s="8" t="inlineStr"/>
      <c r="J10" s="7" t="inlineStr">
        <is>
          <t>HLRD › 6. High-level requirements</t>
        </is>
      </c>
    </row>
    <row r="11">
      <c r="A11" s="7" t="inlineStr">
        <is>
          <t>HLR-2</t>
        </is>
      </c>
      <c r="B11" s="7" t="inlineStr">
        <is>
          <t>Epic (HLR)</t>
        </is>
      </c>
      <c r="C11" s="7" t="inlineStr"/>
      <c r="D11" s="8" t="inlineStr">
        <is>
          <t>Task management: Create, order by importance (drag; top = most important), filter, change status/frequency/relevance</t>
        </is>
      </c>
      <c r="E11" s="8" t="inlineStr">
        <is>
          <t>Built &amp; tested</t>
        </is>
      </c>
      <c r="F11" s="8" t="inlineStr">
        <is>
          <t>Must</t>
        </is>
      </c>
      <c r="G11" s="8" t="inlineStr">
        <is>
          <t>Mansi</t>
        </is>
      </c>
      <c r="H11" s="8" t="inlineStr"/>
      <c r="I11" s="8" t="inlineStr"/>
      <c r="J11" s="7" t="inlineStr">
        <is>
          <t>HLRD › 6. High-level requirements</t>
        </is>
      </c>
    </row>
    <row r="12">
      <c r="A12" s="7" t="inlineStr">
        <is>
          <t>HLR-3</t>
        </is>
      </c>
      <c r="B12" s="7" t="inlineStr">
        <is>
          <t>Epic (HLR)</t>
        </is>
      </c>
      <c r="C12" s="7" t="inlineStr"/>
      <c r="D12" s="8" t="inlineStr">
        <is>
          <t>Completion &amp; streaks: Log completions with note/backfill; activity log; current/best streak</t>
        </is>
      </c>
      <c r="E12" s="8" t="inlineStr">
        <is>
          <t>Built &amp; tested</t>
        </is>
      </c>
      <c r="F12" s="8" t="inlineStr">
        <is>
          <t>Must</t>
        </is>
      </c>
      <c r="G12" s="8" t="inlineStr">
        <is>
          <t>Mansi</t>
        </is>
      </c>
      <c r="H12" s="8" t="inlineStr"/>
      <c r="I12" s="8" t="inlineStr"/>
      <c r="J12" s="7" t="inlineStr">
        <is>
          <t>HLRD › 6. High-level requirements</t>
        </is>
      </c>
    </row>
    <row r="13">
      <c r="A13" s="7" t="inlineStr">
        <is>
          <t>HLR-4</t>
        </is>
      </c>
      <c r="B13" s="7" t="inlineStr">
        <is>
          <t>Epic (HLR)</t>
        </is>
      </c>
      <c r="C13" s="7" t="inlineStr"/>
      <c r="D13" s="8" t="inlineStr">
        <is>
          <t>Rewards: Create, tag, progress, auto-unlock, claim</t>
        </is>
      </c>
      <c r="E13" s="8" t="inlineStr">
        <is>
          <t>Built &amp; tested</t>
        </is>
      </c>
      <c r="F13" s="8" t="inlineStr">
        <is>
          <t>Must</t>
        </is>
      </c>
      <c r="G13" s="8" t="inlineStr">
        <is>
          <t>Mansi</t>
        </is>
      </c>
      <c r="H13" s="8" t="inlineStr"/>
      <c r="I13" s="8" t="inlineStr"/>
      <c r="J13" s="7" t="inlineStr">
        <is>
          <t>HLRD › 6. High-level requirements</t>
        </is>
      </c>
    </row>
    <row r="14">
      <c r="A14" s="7" t="inlineStr">
        <is>
          <t>HLR-5</t>
        </is>
      </c>
      <c r="B14" s="7" t="inlineStr">
        <is>
          <t>Epic (HLR)</t>
        </is>
      </c>
      <c r="C14" s="7" t="inlineStr"/>
      <c r="D14" s="8" t="inlineStr">
        <is>
          <t>Insights dashboard: Aggregates, filters, cached reads, claim from dashboard</t>
        </is>
      </c>
      <c r="E14" s="8" t="inlineStr">
        <is>
          <t>Built &amp; tested</t>
        </is>
      </c>
      <c r="F14" s="8" t="inlineStr">
        <is>
          <t>Must</t>
        </is>
      </c>
      <c r="G14" s="8" t="inlineStr">
        <is>
          <t>Mansi</t>
        </is>
      </c>
      <c r="H14" s="8" t="inlineStr"/>
      <c r="I14" s="8" t="inlineStr"/>
      <c r="J14" s="7" t="inlineStr">
        <is>
          <t>HLRD › 6. High-level requirements</t>
        </is>
      </c>
    </row>
    <row r="15">
      <c r="A15" s="7" t="inlineStr">
        <is>
          <t>HLR-6</t>
        </is>
      </c>
      <c r="B15" s="7" t="inlineStr">
        <is>
          <t>Epic (HLR)</t>
        </is>
      </c>
      <c r="C15" s="7" t="inlineStr"/>
      <c r="D15" s="8" t="inlineStr">
        <is>
          <t>AI task suggestions: Photos → suggestions → decisions → tasks; non-blocking</t>
        </is>
      </c>
      <c r="E15" s="8" t="inlineStr">
        <is>
          <t>Planned</t>
        </is>
      </c>
      <c r="F15" s="8" t="inlineStr">
        <is>
          <t>Should</t>
        </is>
      </c>
      <c r="G15" s="8" t="inlineStr">
        <is>
          <t>Mansi</t>
        </is>
      </c>
      <c r="H15" s="8" t="inlineStr"/>
      <c r="I15" s="8" t="inlineStr"/>
      <c r="J15" s="7" t="inlineStr">
        <is>
          <t>HLRD › 6. High-level requirements</t>
        </is>
      </c>
    </row>
    <row r="16">
      <c r="A16" s="7" t="inlineStr">
        <is>
          <t>HLR-7</t>
        </is>
      </c>
      <c r="B16" s="7" t="inlineStr">
        <is>
          <t>Epic (HLR)</t>
        </is>
      </c>
      <c r="C16" s="7" t="inlineStr"/>
      <c r="D16" s="8" t="inlineStr">
        <is>
          <t>Module composition: Independently delivered MFE with host fallback</t>
        </is>
      </c>
      <c r="E16" s="8" t="inlineStr">
        <is>
          <t>Built &amp; tested</t>
        </is>
      </c>
      <c r="F16" s="8" t="inlineStr">
        <is>
          <t>Must</t>
        </is>
      </c>
      <c r="G16" s="8" t="inlineStr">
        <is>
          <t>Mansi</t>
        </is>
      </c>
      <c r="H16" s="8" t="inlineStr"/>
      <c r="I16" s="8" t="inlineStr"/>
      <c r="J16" s="7" t="inlineStr">
        <is>
          <t>HLRD › 6. High-level requirements</t>
        </is>
      </c>
    </row>
    <row r="17">
      <c r="A17" s="7" t="inlineStr">
        <is>
          <t>HLR-8</t>
        </is>
      </c>
      <c r="B17" s="7" t="inlineStr">
        <is>
          <t>Epic (HLR)</t>
        </is>
      </c>
      <c r="C17" s="7" t="inlineStr"/>
      <c r="D17" s="8" t="inlineStr">
        <is>
          <t>API (BFF): Versionable, documented, client-shaped API with demo auth</t>
        </is>
      </c>
      <c r="E17" s="8" t="inlineStr">
        <is>
          <t>Built &amp; tested</t>
        </is>
      </c>
      <c r="F17" s="8" t="inlineStr">
        <is>
          <t>Must</t>
        </is>
      </c>
      <c r="G17" s="8" t="inlineStr">
        <is>
          <t>Mansi</t>
        </is>
      </c>
      <c r="H17" s="8" t="inlineStr"/>
      <c r="I17" s="8" t="inlineStr"/>
      <c r="J17" s="7" t="inlineStr">
        <is>
          <t>HLRD › 6. High-level requirements</t>
        </is>
      </c>
    </row>
    <row r="18">
      <c r="A18" s="7" t="inlineStr">
        <is>
          <t>HLR-9</t>
        </is>
      </c>
      <c r="B18" s="7" t="inlineStr">
        <is>
          <t>Epic (HLR)</t>
        </is>
      </c>
      <c r="C18" s="7" t="inlineStr"/>
      <c r="D18" s="8" t="inlineStr">
        <is>
          <t>Reward scope and matching: Rewards live in the same tiles and areas as tasks; tasks are matched to rewards inside that scope (selected tasks, or all tasks in scope); existing rewards migrated without data loss</t>
        </is>
      </c>
      <c r="E18" s="8" t="inlineStr">
        <is>
          <t>Built &amp; tested</t>
        </is>
      </c>
      <c r="F18" s="8" t="inlineStr">
        <is>
          <t>Must</t>
        </is>
      </c>
      <c r="G18" s="8" t="inlineStr">
        <is>
          <t>Mansi</t>
        </is>
      </c>
      <c r="H18" s="8" t="inlineStr"/>
      <c r="I18" s="8" t="inlineStr"/>
      <c r="J18" s="7" t="inlineStr">
        <is>
          <t>HLRD › 6. High-level requirements</t>
        </is>
      </c>
    </row>
    <row r="19">
      <c r="A19" s="7" t="inlineStr">
        <is>
          <t>HLR-10</t>
        </is>
      </c>
      <c r="B19" s="7" t="inlineStr">
        <is>
          <t>Epic (HLR)</t>
        </is>
      </c>
      <c r="C19" s="7" t="inlineStr"/>
      <c r="D19" s="8" t="inlineStr">
        <is>
          <t>Notes, contacts and files: Every tile and area holds notes, contacts (customer care, service executives, vendors) and files (bills, warranty cards), grouped by topic such as "Bosch Dishwasher", with tap-to-call and search</t>
        </is>
      </c>
      <c r="E19" s="8" t="inlineStr">
        <is>
          <t>Built &amp; tested</t>
        </is>
      </c>
      <c r="F19" s="8" t="inlineStr">
        <is>
          <t>Must</t>
        </is>
      </c>
      <c r="G19" s="8" t="inlineStr">
        <is>
          <t>Mansi</t>
        </is>
      </c>
      <c r="H19" s="8" t="inlineStr"/>
      <c r="I19" s="8" t="inlineStr"/>
      <c r="J19" s="7" t="inlineStr">
        <is>
          <t>HLRD › 6. High-level requirements</t>
        </is>
      </c>
    </row>
    <row r="20">
      <c r="A20" s="7" t="inlineStr">
        <is>
          <t>HLR-11</t>
        </is>
      </c>
      <c r="B20" s="7" t="inlineStr">
        <is>
          <t>Epic (HLR)</t>
        </is>
      </c>
      <c r="C20" s="7" t="inlineStr"/>
      <c r="D20" s="8" t="inlineStr">
        <is>
          <t>Task planning and visibility: 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E20" s="8" t="inlineStr">
        <is>
          <t>Built &amp; tested</t>
        </is>
      </c>
      <c r="F20" s="8" t="inlineStr">
        <is>
          <t>Must</t>
        </is>
      </c>
      <c r="G20" s="8" t="inlineStr">
        <is>
          <t>Mansi</t>
        </is>
      </c>
      <c r="H20" s="8" t="inlineStr"/>
      <c r="I20" s="8" t="inlineStr"/>
      <c r="J20" s="7" t="inlineStr">
        <is>
          <t>HLRD › 6. High-level requirements</t>
        </is>
      </c>
    </row>
    <row r="21">
      <c r="A21" s="7" t="inlineStr">
        <is>
          <t>HLR-12</t>
        </is>
      </c>
      <c r="B21" s="7" t="inlineStr">
        <is>
          <t>Epic (HLR)</t>
        </is>
      </c>
      <c r="C21" s="7" t="inlineStr"/>
      <c r="D21" s="8" t="inlineStr">
        <is>
          <t>Reward ideas and wishlist: Capture a reward idea in seconds (e.g. a book for Shiragi spotted at the library) without a rule; turn it into a real reward later, or mark it bought or dropped; every reward says who it's for</t>
        </is>
      </c>
      <c r="E21" s="8" t="inlineStr">
        <is>
          <t>Built &amp; tested</t>
        </is>
      </c>
      <c r="F21" s="8" t="inlineStr">
        <is>
          <t>Must</t>
        </is>
      </c>
      <c r="G21" s="8" t="inlineStr">
        <is>
          <t>Mansi</t>
        </is>
      </c>
      <c r="H21" s="8" t="inlineStr"/>
      <c r="I21" s="8" t="inlineStr"/>
      <c r="J21" s="7" t="inlineStr">
        <is>
          <t>HLRD › 6. High-level requirements</t>
        </is>
      </c>
    </row>
    <row r="22">
      <c r="A22" s="7" t="inlineStr">
        <is>
          <t>HLR-13</t>
        </is>
      </c>
      <c r="B22" s="7" t="inlineStr">
        <is>
          <t>Epic (HLR)</t>
        </is>
      </c>
      <c r="C22" s="7" t="inlineStr"/>
      <c r="D22" s="8" t="inlineStr">
        <is>
          <t>Tiles without areas: A tile can switch areas off (e.g. Career / Office / Work): it then opens straight to Tasks, Rewards and Notes &amp; contacts, and tasks can be moved between tiles and areas</t>
        </is>
      </c>
      <c r="E22" s="8" t="inlineStr">
        <is>
          <t>Built &amp; tested</t>
        </is>
      </c>
      <c r="F22" s="8" t="inlineStr">
        <is>
          <t>Must</t>
        </is>
      </c>
      <c r="G22" s="8" t="inlineStr">
        <is>
          <t>Mansi</t>
        </is>
      </c>
      <c r="H22" s="8" t="inlineStr"/>
      <c r="I22" s="8" t="inlineStr"/>
      <c r="J22" s="7" t="inlineStr">
        <is>
          <t>HLRD › 6. High-level requirements</t>
        </is>
      </c>
    </row>
    <row r="23">
      <c r="A23" s="7" t="inlineStr">
        <is>
          <t>HNFR-1</t>
        </is>
      </c>
      <c r="B23" s="7" t="inlineStr">
        <is>
          <t>Non-functional (high level)</t>
        </is>
      </c>
      <c r="C23" s="7" t="inlineStr">
        <is>
          <t>Cross-cutting</t>
        </is>
      </c>
      <c r="D23" s="8" t="inlineStr">
        <is>
          <t>Usability: Mobile-first; every primary action reachable in ≤ 3 taps from the area screen</t>
        </is>
      </c>
      <c r="E23" s="8" t="inlineStr">
        <is>
          <t>Built (manual test)</t>
        </is>
      </c>
      <c r="F23" s="8" t="inlineStr">
        <is>
          <t>Must</t>
        </is>
      </c>
      <c r="G23" s="8" t="inlineStr">
        <is>
          <t>Mansi</t>
        </is>
      </c>
      <c r="H23" s="8" t="inlineStr"/>
      <c r="I23" s="8" t="inlineStr"/>
      <c r="J23" s="7" t="inlineStr">
        <is>
          <t>HLRD › 6. High-level requirements</t>
        </is>
      </c>
    </row>
    <row r="24">
      <c r="A24" s="7" t="inlineStr">
        <is>
          <t>HNFR-2</t>
        </is>
      </c>
      <c r="B24" s="7" t="inlineStr">
        <is>
          <t>Non-functional (high level)</t>
        </is>
      </c>
      <c r="C24" s="7" t="inlineStr">
        <is>
          <t>Cross-cutting</t>
        </is>
      </c>
      <c r="D24" s="8" t="inlineStr">
        <is>
          <t>Resilience: No single dependency failure (remote, BFF, AI) blanks the host page</t>
        </is>
      </c>
      <c r="E24" s="8" t="inlineStr">
        <is>
          <t>Built (manual test)</t>
        </is>
      </c>
      <c r="F24" s="8" t="inlineStr">
        <is>
          <t>Must</t>
        </is>
      </c>
      <c r="G24" s="8" t="inlineStr">
        <is>
          <t>Mansi</t>
        </is>
      </c>
      <c r="H24" s="8" t="inlineStr"/>
      <c r="I24" s="8" t="inlineStr"/>
      <c r="J24" s="7" t="inlineStr">
        <is>
          <t>HLRD › 6. High-level requirements</t>
        </is>
      </c>
    </row>
    <row r="25">
      <c r="A25" s="7" t="inlineStr">
        <is>
          <t>HNFR-3</t>
        </is>
      </c>
      <c r="B25" s="7" t="inlineStr">
        <is>
          <t>Non-functional (high level)</t>
        </is>
      </c>
      <c r="C25" s="7" t="inlineStr">
        <is>
          <t>Cross-cutting</t>
        </is>
      </c>
      <c r="D25" s="8" t="inlineStr">
        <is>
          <t>Performance: Rewards screen interactive ≤ 2 s on local/broadband; dashboard cached reads</t>
        </is>
      </c>
      <c r="E25" s="8" t="inlineStr">
        <is>
          <t>Built (manual test)</t>
        </is>
      </c>
      <c r="F25" s="8" t="inlineStr">
        <is>
          <t>Must</t>
        </is>
      </c>
      <c r="G25" s="8" t="inlineStr">
        <is>
          <t>Mansi</t>
        </is>
      </c>
      <c r="H25" s="8" t="inlineStr"/>
      <c r="I25" s="8" t="inlineStr"/>
      <c r="J25" s="7" t="inlineStr">
        <is>
          <t>HLRD › 6. High-level requirements</t>
        </is>
      </c>
    </row>
    <row r="26">
      <c r="A26" s="7" t="inlineStr">
        <is>
          <t>HNFR-4</t>
        </is>
      </c>
      <c r="B26" s="7" t="inlineStr">
        <is>
          <t>Non-functional (high level)</t>
        </is>
      </c>
      <c r="C26" s="7" t="inlineStr">
        <is>
          <t>Cross-cutting</t>
        </is>
      </c>
      <c r="D26" s="8" t="inlineStr">
        <is>
          <t>Security: Secrets server-side only; CORS allow-list; private photo storage</t>
        </is>
      </c>
      <c r="E26" s="8" t="inlineStr">
        <is>
          <t>Built (manual test)</t>
        </is>
      </c>
      <c r="F26" s="8" t="inlineStr">
        <is>
          <t>Must</t>
        </is>
      </c>
      <c r="G26" s="8" t="inlineStr">
        <is>
          <t>Mansi</t>
        </is>
      </c>
      <c r="H26" s="8" t="inlineStr"/>
      <c r="I26" s="8" t="inlineStr"/>
      <c r="J26" s="7" t="inlineStr">
        <is>
          <t>HLRD › 6. High-level requirements</t>
        </is>
      </c>
    </row>
    <row r="27">
      <c r="A27" s="7" t="inlineStr">
        <is>
          <t>HNFR-5</t>
        </is>
      </c>
      <c r="B27" s="7" t="inlineStr">
        <is>
          <t>Non-functional (high level)</t>
        </is>
      </c>
      <c r="C27" s="7" t="inlineStr">
        <is>
          <t>Cross-cutting</t>
        </is>
      </c>
      <c r="D27" s="8" t="inlineStr">
        <is>
          <t>Accessibility: WCAG 2.2 AA intent: labels, focus, live regions, contrast, reduced motion</t>
        </is>
      </c>
      <c r="E27" s="8" t="inlineStr">
        <is>
          <t>Built (manual test)</t>
        </is>
      </c>
      <c r="F27" s="8" t="inlineStr">
        <is>
          <t>Must</t>
        </is>
      </c>
      <c r="G27" s="8" t="inlineStr">
        <is>
          <t>Mansi</t>
        </is>
      </c>
      <c r="H27" s="8" t="inlineStr"/>
      <c r="I27" s="8" t="inlineStr"/>
      <c r="J27" s="7" t="inlineStr">
        <is>
          <t>HLRD › 6. High-level requirements</t>
        </is>
      </c>
    </row>
    <row r="28">
      <c r="A28" s="7" t="inlineStr">
        <is>
          <t>HNFR-6</t>
        </is>
      </c>
      <c r="B28" s="7" t="inlineStr">
        <is>
          <t>Non-functional (high level)</t>
        </is>
      </c>
      <c r="C28" s="7" t="inlineStr">
        <is>
          <t>Cross-cutting</t>
        </is>
      </c>
      <c r="D28" s="8" t="inlineStr">
        <is>
          <t>Maintainability: Typed contracts; pure, unit-tested business rules; ≥ 1 test per business rule</t>
        </is>
      </c>
      <c r="E28" s="8" t="inlineStr">
        <is>
          <t>Built (manual test)</t>
        </is>
      </c>
      <c r="F28" s="8" t="inlineStr">
        <is>
          <t>Must</t>
        </is>
      </c>
      <c r="G28" s="8" t="inlineStr">
        <is>
          <t>Mansi</t>
        </is>
      </c>
      <c r="H28" s="8" t="inlineStr"/>
      <c r="I28" s="8" t="inlineStr"/>
      <c r="J28" s="7" t="inlineStr">
        <is>
          <t>HLRD › 6. High-level requirements</t>
        </is>
      </c>
    </row>
    <row r="29">
      <c r="A29" s="7" t="inlineStr">
        <is>
          <t>HNFR-7</t>
        </is>
      </c>
      <c r="B29" s="7" t="inlineStr">
        <is>
          <t>Non-functional (high level)</t>
        </is>
      </c>
      <c r="C29" s="7" t="inlineStr">
        <is>
          <t>Cross-cutting</t>
        </is>
      </c>
      <c r="D29" s="8" t="inlineStr">
        <is>
          <t>Portability: HTTP/JSON only between tiers; storage swappable (SQLite → Postgres)</t>
        </is>
      </c>
      <c r="E29" s="8" t="inlineStr">
        <is>
          <t>Built (manual test)</t>
        </is>
      </c>
      <c r="F29" s="8" t="inlineStr">
        <is>
          <t>Must</t>
        </is>
      </c>
      <c r="G29" s="8" t="inlineStr">
        <is>
          <t>Mansi</t>
        </is>
      </c>
      <c r="H29" s="8" t="inlineStr"/>
      <c r="I29" s="8" t="inlineStr"/>
      <c r="J29" s="7" t="inlineStr">
        <is>
          <t>HLRD › 6. High-level requirements</t>
        </is>
      </c>
    </row>
    <row r="30">
      <c r="A30" s="7" t="inlineStr">
        <is>
          <t>LLR-1.1</t>
        </is>
      </c>
      <c r="B30" s="7" t="inlineStr">
        <is>
          <t>Functional (LLR)</t>
        </is>
      </c>
      <c r="C30" s="7" t="inlineStr">
        <is>
          <t>HLR-1</t>
        </is>
      </c>
      <c r="D30" s="8" t="inlineStr">
        <is>
          <t>Superseded by LLR-1.7 (Q15). Was: on first start the system seeds tiles and areas per Q2</t>
        </is>
      </c>
      <c r="E30" s="8" t="inlineStr">
        <is>
          <t>Out of scope</t>
        </is>
      </c>
      <c r="F30" s="8" t="inlineStr">
        <is>
          <t>Should</t>
        </is>
      </c>
      <c r="G30" s="8" t="inlineStr">
        <is>
          <t>Mansi</t>
        </is>
      </c>
      <c r="H30" s="8" t="inlineStr"/>
      <c r="I30" s="8" t="inlineStr"/>
      <c r="J30" s="7" t="inlineStr">
        <is>
          <t>LLRD › 3. Detailed functional requirements</t>
        </is>
      </c>
    </row>
    <row r="31">
      <c r="A31" s="7" t="inlineStr">
        <is>
          <t>LLR-1.2</t>
        </is>
      </c>
      <c r="B31" s="7" t="inlineStr">
        <is>
          <t>Functional (LLR)</t>
        </is>
      </c>
      <c r="C31" s="7" t="inlineStr">
        <is>
          <t>HLR-1</t>
        </is>
      </c>
      <c r="D31" s="8" t="inlineStr">
        <is>
          <t>The tiles screen shows each tile's icon, name, area count and active task count</t>
        </is>
      </c>
      <c r="E31" s="8" t="inlineStr">
        <is>
          <t>Built (manual test)</t>
        </is>
      </c>
      <c r="F31" s="8" t="inlineStr">
        <is>
          <t>Must</t>
        </is>
      </c>
      <c r="G31" s="8" t="inlineStr">
        <is>
          <t>Mansi</t>
        </is>
      </c>
      <c r="H31" s="8" t="inlineStr"/>
      <c r="I31" s="8" t="inlineStr"/>
      <c r="J31" s="7" t="inlineStr">
        <is>
          <t>LLRD › 3. Detailed functional requirements</t>
        </is>
      </c>
    </row>
    <row r="32">
      <c r="A32" s="7" t="inlineStr">
        <is>
          <t>LLR-1.3</t>
        </is>
      </c>
      <c r="B32" s="7" t="inlineStr">
        <is>
          <t>Functional (LLR)</t>
        </is>
      </c>
      <c r="C32" s="7" t="inlineStr">
        <is>
          <t>HLR-1</t>
        </is>
      </c>
      <c r="D32" s="8" t="inlineStr">
        <is>
          <t>The user can add an area to a tile. The name is 1–80 characters, trimmed, and unique within the tile ignoring case</t>
        </is>
      </c>
      <c r="E32" s="8" t="inlineStr">
        <is>
          <t>Built &amp; tested</t>
        </is>
      </c>
      <c r="F32" s="8" t="inlineStr">
        <is>
          <t>Must</t>
        </is>
      </c>
      <c r="G32" s="8" t="inlineStr">
        <is>
          <t>Mansi</t>
        </is>
      </c>
      <c r="H32" s="8" t="inlineStr"/>
      <c r="I32" s="8" t="inlineStr"/>
      <c r="J32" s="7" t="inlineStr">
        <is>
          <t>LLRD › 3. Detailed functional requirements</t>
        </is>
      </c>
    </row>
    <row r="33">
      <c r="A33" s="7" t="inlineStr">
        <is>
          <t>LLR-1.4</t>
        </is>
      </c>
      <c r="B33" s="7" t="inlineStr">
        <is>
          <t>Functional (LLR)</t>
        </is>
      </c>
      <c r="C33" s="7" t="inlineStr">
        <is>
          <t>HLR-1</t>
        </is>
      </c>
      <c r="D33" s="8" t="inlineStr">
        <is>
          <t>The user can rename an area under the same rules as LLR-1.3</t>
        </is>
      </c>
      <c r="E33" s="8" t="inlineStr">
        <is>
          <t>Built &amp; tested</t>
        </is>
      </c>
      <c r="F33" s="8" t="inlineStr">
        <is>
          <t>Must</t>
        </is>
      </c>
      <c r="G33" s="8" t="inlineStr">
        <is>
          <t>Mansi</t>
        </is>
      </c>
      <c r="H33" s="8" t="inlineStr"/>
      <c r="I33" s="8" t="inlineStr"/>
      <c r="J33" s="7" t="inlineStr">
        <is>
          <t>LLRD › 3. Detailed functional requirements</t>
        </is>
      </c>
    </row>
    <row r="34">
      <c r="A34" s="7" t="inlineStr">
        <is>
          <t>LLR-1.5</t>
        </is>
      </c>
      <c r="B34" s="7" t="inlineStr">
        <is>
          <t>Functional (LLR)</t>
        </is>
      </c>
      <c r="C34" s="7" t="inlineStr">
        <is>
          <t>HLR-1</t>
        </is>
      </c>
      <c r="D34" s="8" t="inlineStr">
        <is>
          <t>The user can delete an area after confirmation. Its tasks, completions, photos and suggestions are removed with it</t>
        </is>
      </c>
      <c r="E34" s="8" t="inlineStr">
        <is>
          <t>Built &amp; tested</t>
        </is>
      </c>
      <c r="F34" s="8" t="inlineStr">
        <is>
          <t>Must</t>
        </is>
      </c>
      <c r="G34" s="8" t="inlineStr">
        <is>
          <t>Mansi</t>
        </is>
      </c>
      <c r="H34" s="8" t="inlineStr"/>
      <c r="I34" s="8" t="inlineStr"/>
      <c r="J34" s="7" t="inlineStr">
        <is>
          <t>LLRD › 3. Detailed functional requirements</t>
        </is>
      </c>
    </row>
    <row r="35">
      <c r="A35" s="7" t="inlineStr">
        <is>
          <t>LLR-1.6</t>
        </is>
      </c>
      <c r="B35" s="7" t="inlineStr">
        <is>
          <t>Functional (LLR)</t>
        </is>
      </c>
      <c r="C35" s="7" t="inlineStr">
        <is>
          <t>HLR-1</t>
        </is>
      </c>
      <c r="D35" s="8" t="inlineStr">
        <is>
          <t>The confirmation text states how many active tasks will be deleted</t>
        </is>
      </c>
      <c r="E35" s="8" t="inlineStr">
        <is>
          <t>Built (manual test)</t>
        </is>
      </c>
      <c r="F35" s="8" t="inlineStr">
        <is>
          <t>Must</t>
        </is>
      </c>
      <c r="G35" s="8" t="inlineStr">
        <is>
          <t>Mansi</t>
        </is>
      </c>
      <c r="H35" s="8" t="inlineStr"/>
      <c r="I35" s="8" t="inlineStr"/>
      <c r="J35" s="7" t="inlineStr">
        <is>
          <t>LLRD › 3. Detailed functional requirements</t>
        </is>
      </c>
    </row>
    <row r="36">
      <c r="A36" s="7" t="inlineStr">
        <is>
          <t>LLR-1.7</t>
        </is>
      </c>
      <c r="B36" s="7" t="inlineStr">
        <is>
          <t>Functional (LLR)</t>
        </is>
      </c>
      <c r="C36" s="7" t="inlineStr">
        <is>
          <t>HLR-1</t>
        </is>
      </c>
      <c r="D36" s="8" t="inlineStr">
        <is>
          <t>A new database starts with no tiles. The tiles screen shows "Create your first tile" and an optional Add suggested tiles button. Nothing is seeded automatically</t>
        </is>
      </c>
      <c r="E36" s="8" t="inlineStr">
        <is>
          <t>Built &amp; tested</t>
        </is>
      </c>
      <c r="F36" s="8" t="inlineStr">
        <is>
          <t>Must</t>
        </is>
      </c>
      <c r="G36" s="8" t="inlineStr">
        <is>
          <t>Mansi</t>
        </is>
      </c>
      <c r="H36" s="8" t="inlineStr"/>
      <c r="I36" s="8" t="inlineStr"/>
      <c r="J36" s="7" t="inlineStr">
        <is>
          <t>LLRD › 3. Detailed functional requirements</t>
        </is>
      </c>
    </row>
    <row r="37">
      <c r="A37" s="7" t="inlineStr">
        <is>
          <t>LLR-1.8</t>
        </is>
      </c>
      <c r="B37" s="7" t="inlineStr">
        <is>
          <t>Functional (LLR)</t>
        </is>
      </c>
      <c r="C37" s="7" t="inlineStr">
        <is>
          <t>HLR-1</t>
        </is>
      </c>
      <c r="D37" s="8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E37" s="8" t="inlineStr">
        <is>
          <t>Built &amp; tested</t>
        </is>
      </c>
      <c r="F37" s="8" t="inlineStr">
        <is>
          <t>Must</t>
        </is>
      </c>
      <c r="G37" s="8" t="inlineStr">
        <is>
          <t>Mansi</t>
        </is>
      </c>
      <c r="H37" s="8" t="inlineStr"/>
      <c r="I37" s="8" t="inlineStr"/>
      <c r="J37" s="7" t="inlineStr">
        <is>
          <t>LLRD › 3. Detailed functional requirements</t>
        </is>
      </c>
    </row>
    <row r="38">
      <c r="A38" s="7" t="inlineStr">
        <is>
          <t>LLR-1.9</t>
        </is>
      </c>
      <c r="B38" s="7" t="inlineStr">
        <is>
          <t>Functional (LLR)</t>
        </is>
      </c>
      <c r="C38" s="7" t="inlineStr">
        <is>
          <t>HLR-1</t>
        </is>
      </c>
      <c r="D38" s="8" t="inlineStr">
        <is>
          <t>Create a tile: name 1–40 characters, trimmed, unique ignoring case (409 on duplicate); icon (one emoji, optional, default 📁). New tiles go to the end</t>
        </is>
      </c>
      <c r="E38" s="8" t="inlineStr">
        <is>
          <t>Built &amp; tested</t>
        </is>
      </c>
      <c r="F38" s="8" t="inlineStr">
        <is>
          <t>Must</t>
        </is>
      </c>
      <c r="G38" s="8" t="inlineStr">
        <is>
          <t>Mansi</t>
        </is>
      </c>
      <c r="H38" s="8" t="inlineStr"/>
      <c r="I38" s="8" t="inlineStr"/>
      <c r="J38" s="7" t="inlineStr">
        <is>
          <t>LLRD › 3. Detailed functional requirements</t>
        </is>
      </c>
    </row>
    <row r="39">
      <c r="A39" s="7" t="inlineStr">
        <is>
          <t>LLR-1.10</t>
        </is>
      </c>
      <c r="B39" s="7" t="inlineStr">
        <is>
          <t>Functional (LLR)</t>
        </is>
      </c>
      <c r="C39" s="7" t="inlineStr">
        <is>
          <t>HLR-1</t>
        </is>
      </c>
      <c r="D39" s="8" t="inlineStr">
        <is>
          <t>Edit a tile: change its name (same rules) and icon. Areas, tasks, rewards and links keep working, because they refer to the tile's id, not its name</t>
        </is>
      </c>
      <c r="E39" s="8" t="inlineStr">
        <is>
          <t>Built &amp; tested</t>
        </is>
      </c>
      <c r="F39" s="8" t="inlineStr">
        <is>
          <t>Must</t>
        </is>
      </c>
      <c r="G39" s="8" t="inlineStr">
        <is>
          <t>Mansi</t>
        </is>
      </c>
      <c r="H39" s="8" t="inlineStr"/>
      <c r="I39" s="8" t="inlineStr"/>
      <c r="J39" s="7" t="inlineStr">
        <is>
          <t>LLRD › 3. Detailed functional requirements</t>
        </is>
      </c>
    </row>
    <row r="40">
      <c r="A40" s="7" t="inlineStr">
        <is>
          <t>LLR-1.11</t>
        </is>
      </c>
      <c r="B40" s="7" t="inlineStr">
        <is>
          <t>Functional (LLR)</t>
        </is>
      </c>
      <c r="C40" s="7" t="inlineStr">
        <is>
          <t>HLR-1</t>
        </is>
      </c>
      <c r="D40" s="8" t="inlineStr">
        <is>
          <t>Reorder tiles, and areas within a tile (move up/down; drag on wider screens). The order is saved and used everywhere, including the dashboard</t>
        </is>
      </c>
      <c r="E40" s="8" t="inlineStr">
        <is>
          <t>Built &amp; tested</t>
        </is>
      </c>
      <c r="F40" s="8" t="inlineStr">
        <is>
          <t>Must</t>
        </is>
      </c>
      <c r="G40" s="8" t="inlineStr">
        <is>
          <t>Mansi</t>
        </is>
      </c>
      <c r="H40" s="8" t="inlineStr"/>
      <c r="I40" s="8" t="inlineStr"/>
      <c r="J40" s="7" t="inlineStr">
        <is>
          <t>LLRD › 3. Detailed functional requirements</t>
        </is>
      </c>
    </row>
    <row r="41">
      <c r="A41" s="7" t="inlineStr">
        <is>
          <t>LLR-1.12</t>
        </is>
      </c>
      <c r="B41" s="7" t="inlineStr">
        <is>
          <t>Functional (LLR)</t>
        </is>
      </c>
      <c r="C41" s="7" t="inlineStr">
        <is>
          <t>HLR-1</t>
        </is>
      </c>
      <c r="D41" s="8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E41" s="8" t="inlineStr">
        <is>
          <t>Built &amp; tested</t>
        </is>
      </c>
      <c r="F41" s="8" t="inlineStr">
        <is>
          <t>Must</t>
        </is>
      </c>
      <c r="G41" s="8" t="inlineStr">
        <is>
          <t>Mansi</t>
        </is>
      </c>
      <c r="H41" s="8" t="inlineStr"/>
      <c r="I41" s="8" t="inlineStr"/>
      <c r="J41" s="7" t="inlineStr">
        <is>
          <t>LLRD › 3. Detailed functional requirements</t>
        </is>
      </c>
    </row>
    <row r="42">
      <c r="A42" s="7" t="inlineStr">
        <is>
          <t>LLR-1.13</t>
        </is>
      </c>
      <c r="B42" s="7" t="inlineStr">
        <is>
          <t>Functional (LLR)</t>
        </is>
      </c>
      <c r="C42" s="7" t="inlineStr">
        <is>
          <t>HLR-1</t>
        </is>
      </c>
      <c r="D42" s="8" t="inlineStr">
        <is>
          <t>Existing databases keep their current tiles and areas when this ships: the upgrade removes nothing. They become ordinary user-managed tiles that can be edited or deleted</t>
        </is>
      </c>
      <c r="E42" s="8" t="inlineStr">
        <is>
          <t>Built &amp; tested</t>
        </is>
      </c>
      <c r="F42" s="8" t="inlineStr">
        <is>
          <t>Must</t>
        </is>
      </c>
      <c r="G42" s="8" t="inlineStr">
        <is>
          <t>Mansi</t>
        </is>
      </c>
      <c r="H42" s="8" t="inlineStr"/>
      <c r="I42" s="8" t="inlineStr"/>
      <c r="J42" s="7" t="inlineStr">
        <is>
          <t>LLRD › 3. Detailed functional requirements</t>
        </is>
      </c>
    </row>
    <row r="43">
      <c r="A43" s="7" t="inlineStr">
        <is>
          <t>LLR-2.1</t>
        </is>
      </c>
      <c r="B43" s="7" t="inlineStr">
        <is>
          <t>Functional (LLR)</t>
        </is>
      </c>
      <c r="C43" s="7" t="inlineStr">
        <is>
          <t>HLR-2</t>
        </is>
      </c>
      <c r="D43" s="8" t="inlineStr">
        <is>
          <t>Create a task with title (1–200 characters, required), notes (≤ 2000) and frequency (daily/weekly/one_off, default weekly). Source = manual; status = active; relevance = relevant. No priority is asked for: a new task goes to the bottom of its area's list (D16, BR-R32)</t>
        </is>
      </c>
      <c r="E43" s="8" t="inlineStr">
        <is>
          <t>Built &amp; tested</t>
        </is>
      </c>
      <c r="F43" s="8" t="inlineStr">
        <is>
          <t>Must</t>
        </is>
      </c>
      <c r="G43" s="8" t="inlineStr">
        <is>
          <t>Mansi</t>
        </is>
      </c>
      <c r="H43" s="8" t="inlineStr"/>
      <c r="I43" s="8" t="inlineStr"/>
      <c r="J43" s="7" t="inlineStr">
        <is>
          <t>LLRD › 3. Detailed functional requirements</t>
        </is>
      </c>
    </row>
    <row r="44">
      <c r="A44" s="7" t="inlineStr">
        <is>
          <t>LLR-2.2</t>
        </is>
      </c>
      <c r="B44" s="7" t="inlineStr">
        <is>
          <t>Functional (LLR)</t>
        </is>
      </c>
      <c r="C44" s="7" t="inlineStr">
        <is>
          <t>HLR-2</t>
        </is>
      </c>
      <c r="D44" s="8" t="inlineStr">
        <is>
          <t>After creating a task, the form keeps the chosen frequency for the next entry and clears the title and notes</t>
        </is>
      </c>
      <c r="E44" s="8" t="inlineStr">
        <is>
          <t>Built (manual test)</t>
        </is>
      </c>
      <c r="F44" s="8" t="inlineStr">
        <is>
          <t>Must</t>
        </is>
      </c>
      <c r="G44" s="8" t="inlineStr">
        <is>
          <t>Mansi</t>
        </is>
      </c>
      <c r="H44" s="8" t="inlineStr"/>
      <c r="I44" s="8" t="inlineStr"/>
      <c r="J44" s="7" t="inlineStr">
        <is>
          <t>LLRD › 3. Detailed functional requirements</t>
        </is>
      </c>
    </row>
    <row r="45">
      <c r="A45" s="7" t="inlineStr">
        <is>
          <t>LLR-2.3</t>
        </is>
      </c>
      <c r="B45" s="7" t="inlineStr">
        <is>
          <t>Functional (LLR)</t>
        </is>
      </c>
      <c r="C45" s="7" t="inlineStr">
        <is>
          <t>HLR-2</t>
        </is>
      </c>
      <c r="D45" s="8" t="inlineStr">
        <is>
          <t>An area's (or a tile without areas') task list is in the user's own order: top = most important, bottom = least (BR-R32)</t>
        </is>
      </c>
      <c r="E45" s="8" t="inlineStr">
        <is>
          <t>Built &amp; tested</t>
        </is>
      </c>
      <c r="F45" s="8" t="inlineStr">
        <is>
          <t>Must</t>
        </is>
      </c>
      <c r="G45" s="8" t="inlineStr">
        <is>
          <t>Mansi</t>
        </is>
      </c>
      <c r="H45" s="8" t="inlineStr"/>
      <c r="I45" s="8" t="inlineStr"/>
      <c r="J45" s="7" t="inlineStr">
        <is>
          <t>LLRD › 3. Detailed functional requirements</t>
        </is>
      </c>
    </row>
    <row r="46">
      <c r="A46" s="7" t="inlineStr">
        <is>
          <t>LLR-2.4</t>
        </is>
      </c>
      <c r="B46" s="7" t="inlineStr">
        <is>
          <t>Functional (LLR)</t>
        </is>
      </c>
      <c r="C46" s="7" t="inlineStr">
        <is>
          <t>HLR-2</t>
        </is>
      </c>
      <c r="D46" s="8" t="inlineStr">
        <is>
          <t>Filter by status, relevance, milestone and due (overdue / today / this week), singly or combined. The default view is status = active. The priority filter is removed</t>
        </is>
      </c>
      <c r="E46" s="8" t="inlineStr">
        <is>
          <t>Built &amp; tested</t>
        </is>
      </c>
      <c r="F46" s="8" t="inlineStr">
        <is>
          <t>Must</t>
        </is>
      </c>
      <c r="G46" s="8" t="inlineStr">
        <is>
          <t>Mansi</t>
        </is>
      </c>
      <c r="H46" s="8" t="inlineStr"/>
      <c r="I46" s="8" t="inlineStr"/>
      <c r="J46" s="7" t="inlineStr">
        <is>
          <t>LLRD › 3. Detailed functional requirements</t>
        </is>
      </c>
    </row>
    <row r="47">
      <c r="A47" s="7" t="inlineStr">
        <is>
          <t>LLR-2.5</t>
        </is>
      </c>
      <c r="B47" s="7" t="inlineStr">
        <is>
          <t>Functional (LLR)</t>
        </is>
      </c>
      <c r="C47" s="7" t="inlineStr">
        <is>
          <t>HLR-2</t>
        </is>
      </c>
      <c r="D47" s="8" t="inlineStr">
        <is>
          <t>Drag to reorder: each task row has a ⠿ handle that works with mouse and touch (phone); the new order is saved at once (PUT /areas/{id}/tasks/order). Keyboard and screen-reader users get *Move up* / *Move down* on the handle (arrow keys). Replaces the inline High/Med/Low select</t>
        </is>
      </c>
      <c r="E47" s="8" t="inlineStr">
        <is>
          <t>Built &amp; tested</t>
        </is>
      </c>
      <c r="F47" s="8" t="inlineStr">
        <is>
          <t>Must</t>
        </is>
      </c>
      <c r="G47" s="8" t="inlineStr">
        <is>
          <t>Mansi</t>
        </is>
      </c>
      <c r="H47" s="8" t="inlineStr"/>
      <c r="I47" s="8" t="inlineStr"/>
      <c r="J47" s="7" t="inlineStr">
        <is>
          <t>LLRD › 3. Detailed functional requirements</t>
        </is>
      </c>
    </row>
    <row r="48">
      <c r="A48" s="7" t="inlineStr">
        <is>
          <t>LLR-2.6</t>
        </is>
      </c>
      <c r="B48" s="7" t="inlineStr">
        <is>
          <t>Functional (LLR)</t>
        </is>
      </c>
      <c r="C48" s="7" t="inlineStr">
        <is>
          <t>HLR-2</t>
        </is>
      </c>
      <c r="D48" s="8" t="inlineStr">
        <is>
          <t>Change frequency, status (active/done/archived) and relevance from task detail</t>
        </is>
      </c>
      <c r="E48" s="8" t="inlineStr">
        <is>
          <t>Built &amp; tested</t>
        </is>
      </c>
      <c r="F48" s="8" t="inlineStr">
        <is>
          <t>Must</t>
        </is>
      </c>
      <c r="G48" s="8" t="inlineStr">
        <is>
          <t>Mansi</t>
        </is>
      </c>
      <c r="H48" s="8" t="inlineStr"/>
      <c r="I48" s="8" t="inlineStr"/>
      <c r="J48" s="7" t="inlineStr">
        <is>
          <t>LLRD › 3. Detailed functional requirements</t>
        </is>
      </c>
    </row>
    <row r="49">
      <c r="A49" s="7" t="inlineStr">
        <is>
          <t>LLR-2.7</t>
        </is>
      </c>
      <c r="B49" s="7" t="inlineStr">
        <is>
          <t>Functional (LLR)</t>
        </is>
      </c>
      <c r="C49" s="7" t="inlineStr">
        <is>
          <t>HLR-2</t>
        </is>
      </c>
      <c r="D49" s="8" t="inlineStr">
        <is>
          <t>An empty list says "No tasks yet" with the default filter and "No tasks match these filters" otherwise</t>
        </is>
      </c>
      <c r="E49" s="8" t="inlineStr">
        <is>
          <t>Built (manual test)</t>
        </is>
      </c>
      <c r="F49" s="8" t="inlineStr">
        <is>
          <t>Must</t>
        </is>
      </c>
      <c r="G49" s="8" t="inlineStr">
        <is>
          <t>Mansi</t>
        </is>
      </c>
      <c r="H49" s="8" t="inlineStr"/>
      <c r="I49" s="8" t="inlineStr"/>
      <c r="J49" s="7" t="inlineStr">
        <is>
          <t>LLRD › 3. Detailed functional requirements</t>
        </is>
      </c>
    </row>
    <row r="50">
      <c r="A50" s="7" t="inlineStr">
        <is>
          <t>LLR-2.8</t>
        </is>
      </c>
      <c r="B50" s="7" t="inlineStr">
        <is>
          <t>Functional (LLR)</t>
        </is>
      </c>
      <c r="C50" s="7" t="inlineStr">
        <is>
          <t>HLR-2</t>
        </is>
      </c>
      <c r="D50" s="8" t="inlineStr">
        <is>
          <t>Null values in updates are rejected (422); unknown enum values are rejected (422)</t>
        </is>
      </c>
      <c r="E50" s="8" t="inlineStr">
        <is>
          <t>Built &amp; tested</t>
        </is>
      </c>
      <c r="F50" s="8" t="inlineStr">
        <is>
          <t>Must</t>
        </is>
      </c>
      <c r="G50" s="8" t="inlineStr">
        <is>
          <t>Mansi</t>
        </is>
      </c>
      <c r="H50" s="8" t="inlineStr"/>
      <c r="I50" s="8" t="inlineStr"/>
      <c r="J50" s="7" t="inlineStr">
        <is>
          <t>LLRD › 3. Detailed functional requirements</t>
        </is>
      </c>
    </row>
    <row r="51">
      <c r="A51" s="7" t="inlineStr">
        <is>
          <t>LLR-2.9</t>
        </is>
      </c>
      <c r="B51" s="7" t="inlineStr">
        <is>
          <t>Functional (LLR)</t>
        </is>
      </c>
      <c r="C51" s="7" t="inlineStr">
        <is>
          <t>HLR-2</t>
        </is>
      </c>
      <c r="D51" s="8" t="inlineStr">
        <is>
          <t>A cross-area list of active tasks, grouped by area, is available for the reward task picker</t>
        </is>
      </c>
      <c r="E51" s="8" t="inlineStr">
        <is>
          <t>Built &amp; tested</t>
        </is>
      </c>
      <c r="F51" s="8" t="inlineStr">
        <is>
          <t>Must</t>
        </is>
      </c>
      <c r="G51" s="8" t="inlineStr">
        <is>
          <t>Mansi</t>
        </is>
      </c>
      <c r="H51" s="8" t="inlineStr"/>
      <c r="I51" s="8" t="inlineStr"/>
      <c r="J51" s="7" t="inlineStr">
        <is>
          <t>LLRD › 3. Detailed functional requirements</t>
        </is>
      </c>
    </row>
    <row r="52">
      <c r="A52" s="7" t="inlineStr">
        <is>
          <t>LLR-2.10</t>
        </is>
      </c>
      <c r="B52" s="7" t="inlineStr">
        <is>
          <t>Functional (LLR)</t>
        </is>
      </c>
      <c r="C52" s="7" t="inlineStr">
        <is>
          <t>HLR-2</t>
        </is>
      </c>
      <c r="D52" s="8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E52" s="8" t="inlineStr">
        <is>
          <t>Built &amp; tested</t>
        </is>
      </c>
      <c r="F52" s="8" t="inlineStr">
        <is>
          <t>Must</t>
        </is>
      </c>
      <c r="G52" s="8" t="inlineStr">
        <is>
          <t>Mansi</t>
        </is>
      </c>
      <c r="H52" s="8" t="inlineStr"/>
      <c r="I52" s="8" t="inlineStr"/>
      <c r="J52" s="7" t="inlineStr">
        <is>
          <t>LLRD › 3. Detailed functional requirements</t>
        </is>
      </c>
    </row>
    <row r="53">
      <c r="A53" s="7" t="inlineStr">
        <is>
          <t>LLR-2.11</t>
        </is>
      </c>
      <c r="B53" s="7" t="inlineStr">
        <is>
          <t>Functional (LLR)</t>
        </is>
      </c>
      <c r="C53" s="7" t="inlineStr">
        <is>
          <t>HLR-2</t>
        </is>
      </c>
      <c r="D53" s="8" t="inlineStr">
        <is>
          <t>Dragging is available only in the default view (active tasks, no filters, *My order*). With a filter or *Sort by due date* on, the list shows a note "Clear filters to reorder" and has no handles, so the saved order is never changed by accident</t>
        </is>
      </c>
      <c r="E53" s="8" t="inlineStr">
        <is>
          <t>Built &amp; tested</t>
        </is>
      </c>
      <c r="F53" s="8" t="inlineStr">
        <is>
          <t>Must</t>
        </is>
      </c>
      <c r="G53" s="8" t="inlineStr">
        <is>
          <t>Mansi</t>
        </is>
      </c>
      <c r="H53" s="8" t="inlineStr"/>
      <c r="I53" s="8" t="inlineStr"/>
      <c r="J53" s="7" t="inlineStr">
        <is>
          <t>LLRD › 3. Detailed functional requirements</t>
        </is>
      </c>
    </row>
    <row r="54">
      <c r="A54" s="7" t="inlineStr">
        <is>
          <t>LLR-2.12</t>
        </is>
      </c>
      <c r="B54" s="7" t="inlineStr">
        <is>
          <t>Functional (LLR)</t>
        </is>
      </c>
      <c r="C54" s="7" t="inlineStr">
        <is>
          <t>HLR-2</t>
        </is>
      </c>
      <c r="D54" s="8" t="inlineStr">
        <is>
          <t>The order is shared by every list of the area's tasks: the area tab, the Tasks screen (each area group in its own order, areas in tile › area order) and the Link screen's task picker</t>
        </is>
      </c>
      <c r="E54" s="8" t="inlineStr">
        <is>
          <t>Built &amp; tested</t>
        </is>
      </c>
      <c r="F54" s="8" t="inlineStr">
        <is>
          <t>Must</t>
        </is>
      </c>
      <c r="G54" s="8" t="inlineStr">
        <is>
          <t>Mansi</t>
        </is>
      </c>
      <c r="H54" s="8" t="inlineStr"/>
      <c r="I54" s="8" t="inlineStr"/>
      <c r="J54" s="7" t="inlineStr">
        <is>
          <t>LLRD › 3. Detailed functional requirements</t>
        </is>
      </c>
    </row>
    <row r="55">
      <c r="A55" s="7" t="inlineStr">
        <is>
          <t>LLR-2.13</t>
        </is>
      </c>
      <c r="B55" s="7" t="inlineStr">
        <is>
          <t>Functional (LLR)</t>
        </is>
      </c>
      <c r="C55" s="7" t="inlineStr">
        <is>
          <t>HLR-2</t>
        </is>
      </c>
      <c r="D55" s="8" t="inlineStr">
        <is>
          <t>A task moved to another tile or area (LLR-13.7) goes to the bottom there. A done or archived task keeps its place; if reactivated it reappears where it was</t>
        </is>
      </c>
      <c r="E55" s="8" t="inlineStr">
        <is>
          <t>Built &amp; tested</t>
        </is>
      </c>
      <c r="F55" s="8" t="inlineStr">
        <is>
          <t>Must</t>
        </is>
      </c>
      <c r="G55" s="8" t="inlineStr">
        <is>
          <t>Mansi</t>
        </is>
      </c>
      <c r="H55" s="8" t="inlineStr"/>
      <c r="I55" s="8" t="inlineStr"/>
      <c r="J55" s="7" t="inlineStr">
        <is>
          <t>LLRD › 3. Detailed functional requirements</t>
        </is>
      </c>
    </row>
    <row r="56">
      <c r="A56" s="7" t="inlineStr">
        <is>
          <t>LLR-2.14</t>
        </is>
      </c>
      <c r="B56" s="7" t="inlineStr">
        <is>
          <t>Functional (LLR)</t>
        </is>
      </c>
      <c r="C56" s="7" t="inlineStr">
        <is>
          <t>HLR-2</t>
        </is>
      </c>
      <c r="D56" s="8" t="inlineStr">
        <is>
          <t>Existing data is kept: migration adds tasks.sort_order, initialised per area from today's order (priority high → low, then creation time), with a backup first. The old priority value stays in the database and the JSON export but is no longer shown or used</t>
        </is>
      </c>
      <c r="E56" s="8" t="inlineStr">
        <is>
          <t>Built &amp; tested</t>
        </is>
      </c>
      <c r="F56" s="8" t="inlineStr">
        <is>
          <t>Must</t>
        </is>
      </c>
      <c r="G56" s="8" t="inlineStr">
        <is>
          <t>Mansi</t>
        </is>
      </c>
      <c r="H56" s="8" t="inlineStr"/>
      <c r="I56" s="8" t="inlineStr"/>
      <c r="J56" s="7" t="inlineStr">
        <is>
          <t>LLRD › 3. Detailed functional requirements</t>
        </is>
      </c>
    </row>
    <row r="57">
      <c r="A57" s="7" t="inlineStr">
        <is>
          <t>LLR-3.1</t>
        </is>
      </c>
      <c r="B57" s="7" t="inlineStr">
        <is>
          <t>Functional (LLR)</t>
        </is>
      </c>
      <c r="C57" s="7" t="inlineStr">
        <is>
          <t>HLR-3</t>
        </is>
      </c>
      <c r="D57" s="8" t="inlineStr">
        <is>
          <t>Complete an active task, optionally with a note (≤ 1000) and a time (completedAt). If no time is given, the time is now</t>
        </is>
      </c>
      <c r="E57" s="8" t="inlineStr">
        <is>
          <t>Built &amp; tested</t>
        </is>
      </c>
      <c r="F57" s="8" t="inlineStr">
        <is>
          <t>Must</t>
        </is>
      </c>
      <c r="G57" s="8" t="inlineStr">
        <is>
          <t>Mansi</t>
        </is>
      </c>
      <c r="H57" s="8" t="inlineStr"/>
      <c r="I57" s="8" t="inlineStr"/>
      <c r="J57" s="7" t="inlineStr">
        <is>
          <t>LLRD › 3. Detailed functional requirements</t>
        </is>
      </c>
    </row>
    <row r="58">
      <c r="A58" s="7" t="inlineStr">
        <is>
          <t>LLR-3.2</t>
        </is>
      </c>
      <c r="B58" s="7" t="inlineStr">
        <is>
          <t>Functional (LLR)</t>
        </is>
      </c>
      <c r="C58" s="7" t="inlineStr">
        <is>
          <t>HLR-3</t>
        </is>
      </c>
      <c r="D58" s="8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E58" s="8" t="inlineStr">
        <is>
          <t>Built (manual test)</t>
        </is>
      </c>
      <c r="F58" s="8" t="inlineStr">
        <is>
          <t>Must</t>
        </is>
      </c>
      <c r="G58" s="8" t="inlineStr">
        <is>
          <t>Mansi</t>
        </is>
      </c>
      <c r="H58" s="8" t="inlineStr"/>
      <c r="I58" s="8" t="inlineStr"/>
      <c r="J58" s="7" t="inlineStr">
        <is>
          <t>LLRD › 3. Detailed functional requirements</t>
        </is>
      </c>
    </row>
    <row r="59">
      <c r="A59" s="7" t="inlineStr">
        <is>
          <t>LLR-3.3</t>
        </is>
      </c>
      <c r="B59" s="7" t="inlineStr">
        <is>
          <t>Functional (LLR)</t>
        </is>
      </c>
      <c r="C59" s="7" t="inlineStr">
        <is>
          <t>HLR-3</t>
        </is>
      </c>
      <c r="D59" s="8" t="inlineStr">
        <is>
          <t>A completion more than 1 minute in the future is rejected (422)</t>
        </is>
      </c>
      <c r="E59" s="8" t="inlineStr">
        <is>
          <t>Built &amp; tested</t>
        </is>
      </c>
      <c r="F59" s="8" t="inlineStr">
        <is>
          <t>Must</t>
        </is>
      </c>
      <c r="G59" s="8" t="inlineStr">
        <is>
          <t>Mansi</t>
        </is>
      </c>
      <c r="H59" s="8" t="inlineStr"/>
      <c r="I59" s="8" t="inlineStr"/>
      <c r="J59" s="7" t="inlineStr">
        <is>
          <t>LLRD › 3. Detailed functional requirements</t>
        </is>
      </c>
    </row>
    <row r="60">
      <c r="A60" s="7" t="inlineStr">
        <is>
          <t>LLR-3.4</t>
        </is>
      </c>
      <c r="B60" s="7" t="inlineStr">
        <is>
          <t>Functional (LLR)</t>
        </is>
      </c>
      <c r="C60" s="7" t="inlineStr">
        <is>
          <t>HLR-3</t>
        </is>
      </c>
      <c r="D60" s="8" t="inlineStr">
        <is>
          <t>Completing a one-off task sets it to done. Further completions are rejected (409)</t>
        </is>
      </c>
      <c r="E60" s="8" t="inlineStr">
        <is>
          <t>Built &amp; tested</t>
        </is>
      </c>
      <c r="F60" s="8" t="inlineStr">
        <is>
          <t>Must</t>
        </is>
      </c>
      <c r="G60" s="8" t="inlineStr">
        <is>
          <t>Mansi</t>
        </is>
      </c>
      <c r="H60" s="8" t="inlineStr"/>
      <c r="I60" s="8" t="inlineStr"/>
      <c r="J60" s="7" t="inlineStr">
        <is>
          <t>LLRD › 3. Detailed functional requirements</t>
        </is>
      </c>
    </row>
    <row r="61">
      <c r="A61" s="7" t="inlineStr">
        <is>
          <t>LLR-3.5</t>
        </is>
      </c>
      <c r="B61" s="7" t="inlineStr">
        <is>
          <t>Functional (LLR)</t>
        </is>
      </c>
      <c r="C61" s="7" t="inlineStr">
        <is>
          <t>HLR-3</t>
        </is>
      </c>
      <c r="D61" s="8" t="inlineStr">
        <is>
          <t>Completing a done or archived task is rejected with a message naming its status (409)</t>
        </is>
      </c>
      <c r="E61" s="8" t="inlineStr">
        <is>
          <t>Built &amp; tested</t>
        </is>
      </c>
      <c r="F61" s="8" t="inlineStr">
        <is>
          <t>Must</t>
        </is>
      </c>
      <c r="G61" s="8" t="inlineStr">
        <is>
          <t>Mansi</t>
        </is>
      </c>
      <c r="H61" s="8" t="inlineStr"/>
      <c r="I61" s="8" t="inlineStr"/>
      <c r="J61" s="7" t="inlineStr">
        <is>
          <t>LLRD › 3. Detailed functional requirements</t>
        </is>
      </c>
    </row>
    <row r="62">
      <c r="A62" s="7" t="inlineStr">
        <is>
          <t>LLR-3.6</t>
        </is>
      </c>
      <c r="B62" s="7" t="inlineStr">
        <is>
          <t>Functional (LLR)</t>
        </is>
      </c>
      <c r="C62" s="7" t="inlineStr">
        <is>
          <t>HLR-3</t>
        </is>
      </c>
      <c r="D62" s="8" t="inlineStr">
        <is>
          <t>The activity log lists completions newest first, with local date/time and note</t>
        </is>
      </c>
      <c r="E62" s="8" t="inlineStr">
        <is>
          <t>Built &amp; tested</t>
        </is>
      </c>
      <c r="F62" s="8" t="inlineStr">
        <is>
          <t>Must</t>
        </is>
      </c>
      <c r="G62" s="8" t="inlineStr">
        <is>
          <t>Mansi</t>
        </is>
      </c>
      <c r="H62" s="8" t="inlineStr"/>
      <c r="I62" s="8" t="inlineStr"/>
      <c r="J62" s="7" t="inlineStr">
        <is>
          <t>LLRD › 3. Detailed functional requirements</t>
        </is>
      </c>
    </row>
    <row r="63">
      <c r="A63" s="7" t="inlineStr">
        <is>
          <t>LLR-3.7</t>
        </is>
      </c>
      <c r="B63" s="7" t="inlineStr">
        <is>
          <t>Functional (LLR)</t>
        </is>
      </c>
      <c r="C63" s="7" t="inlineStr">
        <is>
          <t>HLR-3</t>
        </is>
      </c>
      <c r="D63" s="8" t="inlineStr">
        <is>
          <t>Each task shows completion count, current streak, best streak and last completion time</t>
        </is>
      </c>
      <c r="E63" s="8" t="inlineStr">
        <is>
          <t>Built &amp; tested</t>
        </is>
      </c>
      <c r="F63" s="8" t="inlineStr">
        <is>
          <t>Must</t>
        </is>
      </c>
      <c r="G63" s="8" t="inlineStr">
        <is>
          <t>Mansi</t>
        </is>
      </c>
      <c r="H63" s="8" t="inlineStr"/>
      <c r="I63" s="8" t="inlineStr"/>
      <c r="J63" s="7" t="inlineStr">
        <is>
          <t>LLRD › 3. Detailed functional requirements</t>
        </is>
      </c>
    </row>
    <row r="64">
      <c r="A64" s="7" t="inlineStr">
        <is>
          <t>LLR-3.8</t>
        </is>
      </c>
      <c r="B64" s="7" t="inlineStr">
        <is>
          <t>Functional (LLR)</t>
        </is>
      </c>
      <c r="C64" s="7" t="inlineStr">
        <is>
          <t>HLR-3</t>
        </is>
      </c>
      <c r="D64" s="8" t="inlineStr">
        <is>
          <t>The area list offers a one-tap ✓ complete (now) for active tasks</t>
        </is>
      </c>
      <c r="E64" s="8" t="inlineStr">
        <is>
          <t>Built (manual test)</t>
        </is>
      </c>
      <c r="F64" s="8" t="inlineStr">
        <is>
          <t>Must</t>
        </is>
      </c>
      <c r="G64" s="8" t="inlineStr">
        <is>
          <t>Mansi</t>
        </is>
      </c>
      <c r="H64" s="8" t="inlineStr"/>
      <c r="I64" s="8" t="inlineStr"/>
      <c r="J64" s="7" t="inlineStr">
        <is>
          <t>LLRD › 3. Detailed functional requirements</t>
        </is>
      </c>
    </row>
    <row r="65">
      <c r="A65" s="7" t="inlineStr">
        <is>
          <t>LLR-4.1</t>
        </is>
      </c>
      <c r="B65" s="7" t="inlineStr">
        <is>
          <t>Functional (LLR)</t>
        </is>
      </c>
      <c r="C65" s="7" t="inlineStr">
        <is>
          <t>HLR-4</t>
        </is>
      </c>
      <c r="D65" s="8" t="inlineStr">
        <is>
          <t>Create a reward: title (1–200, required), description (≤ 2000), image URL (≤ 500, optional), rule type (completions or streak), threshold N (1–365), tagged tasks (optional)</t>
        </is>
      </c>
      <c r="E65" s="8" t="inlineStr">
        <is>
          <t>Built &amp; tested</t>
        </is>
      </c>
      <c r="F65" s="8" t="inlineStr">
        <is>
          <t>Must</t>
        </is>
      </c>
      <c r="G65" s="8" t="inlineStr">
        <is>
          <t>Mansi</t>
        </is>
      </c>
      <c r="H65" s="8" t="inlineStr"/>
      <c r="I65" s="8" t="inlineStr"/>
      <c r="J65" s="7" t="inlineStr">
        <is>
          <t>LLRD › 3. Detailed functional requirements</t>
        </is>
      </c>
    </row>
    <row r="66">
      <c r="A66" s="7" t="inlineStr">
        <is>
          <t>LLR-4.2</t>
        </is>
      </c>
      <c r="B66" s="7" t="inlineStr">
        <is>
          <t>Functional (LLR)</t>
        </is>
      </c>
      <c r="C66" s="7" t="inlineStr">
        <is>
          <t>HLR-4</t>
        </is>
      </c>
      <c r="D66" s="8" t="inlineStr">
        <is>
          <t>Tag or untag tasks as a full replacement of the set. Unknown task ids are rejected (422)</t>
        </is>
      </c>
      <c r="E66" s="8" t="inlineStr">
        <is>
          <t>Built &amp; tested</t>
        </is>
      </c>
      <c r="F66" s="8" t="inlineStr">
        <is>
          <t>Must</t>
        </is>
      </c>
      <c r="G66" s="8" t="inlineStr">
        <is>
          <t>Mansi</t>
        </is>
      </c>
      <c r="H66" s="8" t="inlineStr"/>
      <c r="I66" s="8" t="inlineStr"/>
      <c r="J66" s="7" t="inlineStr">
        <is>
          <t>LLRD › 3. Detailed functional requirements</t>
        </is>
      </c>
    </row>
    <row r="67">
      <c r="A67" s="7" t="inlineStr">
        <is>
          <t>LLR-4.3</t>
        </is>
      </c>
      <c r="B67" s="7" t="inlineStr">
        <is>
          <t>Functional (LLR)</t>
        </is>
      </c>
      <c r="C67" s="7" t="inlineStr">
        <is>
          <t>HLR-4</t>
        </is>
      </c>
      <c r="D67" s="8" t="inlineStr">
        <is>
          <t>Tag a task to a locked reward from the task detail screen</t>
        </is>
      </c>
      <c r="E67" s="8" t="inlineStr">
        <is>
          <t>Built (manual test)</t>
        </is>
      </c>
      <c r="F67" s="8" t="inlineStr">
        <is>
          <t>Must</t>
        </is>
      </c>
      <c r="G67" s="8" t="inlineStr">
        <is>
          <t>Mansi</t>
        </is>
      </c>
      <c r="H67" s="8" t="inlineStr"/>
      <c r="I67" s="8" t="inlineStr"/>
      <c r="J67" s="7" t="inlineStr">
        <is>
          <t>LLRD › 3. Detailed functional requirements</t>
        </is>
      </c>
    </row>
    <row r="68">
      <c r="A68" s="7" t="inlineStr">
        <is>
          <t>LLR-4.4</t>
        </is>
      </c>
      <c r="B68" s="7" t="inlineStr">
        <is>
          <t>Functional (LLR)</t>
        </is>
      </c>
      <c r="C68" s="7" t="inlineStr">
        <is>
          <t>HLR-4</t>
        </is>
      </c>
      <c r="D68" s="8" t="inlineStr">
        <is>
          <t>Show each reward's rule text, progress (current / target, %), status and tagged tasks</t>
        </is>
      </c>
      <c r="E68" s="8" t="inlineStr">
        <is>
          <t>Built &amp; tested</t>
        </is>
      </c>
      <c r="F68" s="8" t="inlineStr">
        <is>
          <t>Must</t>
        </is>
      </c>
      <c r="G68" s="8" t="inlineStr">
        <is>
          <t>Mansi</t>
        </is>
      </c>
      <c r="H68" s="8" t="inlineStr"/>
      <c r="I68" s="8" t="inlineStr"/>
      <c r="J68" s="7" t="inlineStr">
        <is>
          <t>LLRD › 3. Detailed functional requirements</t>
        </is>
      </c>
    </row>
    <row r="69">
      <c r="A69" s="7" t="inlineStr">
        <is>
          <t>LLR-4.5</t>
        </is>
      </c>
      <c r="B69" s="7" t="inlineStr">
        <is>
          <t>Functional (LLR)</t>
        </is>
      </c>
      <c r="C69" s="7" t="inlineStr">
        <is>
          <t>HLR-4</t>
        </is>
      </c>
      <c r="D69" s="8" t="inlineStr">
        <is>
          <t>Filter the rewards list by status</t>
        </is>
      </c>
      <c r="E69" s="8" t="inlineStr">
        <is>
          <t>Built &amp; tested</t>
        </is>
      </c>
      <c r="F69" s="8" t="inlineStr">
        <is>
          <t>Must</t>
        </is>
      </c>
      <c r="G69" s="8" t="inlineStr">
        <is>
          <t>Mansi</t>
        </is>
      </c>
      <c r="H69" s="8" t="inlineStr"/>
      <c r="I69" s="8" t="inlineStr"/>
      <c r="J69" s="7" t="inlineStr">
        <is>
          <t>LLRD › 3. Detailed functional requirements</t>
        </is>
      </c>
    </row>
    <row r="70">
      <c r="A70" s="7" t="inlineStr">
        <is>
          <t>LLR-4.6</t>
        </is>
      </c>
      <c r="B70" s="7" t="inlineStr">
        <is>
          <t>Functional (LLR)</t>
        </is>
      </c>
      <c r="C70" s="7" t="inlineStr">
        <is>
          <t>HLR-4</t>
        </is>
      </c>
      <c r="D70" s="8" t="inlineStr">
        <is>
          <t>Claim is only possible when the status is unlocked. Claiming a locked reward is rejected (409). Claiming an already claimed reward changes nothing</t>
        </is>
      </c>
      <c r="E70" s="8" t="inlineStr">
        <is>
          <t>Built &amp; tested</t>
        </is>
      </c>
      <c r="F70" s="8" t="inlineStr">
        <is>
          <t>Must</t>
        </is>
      </c>
      <c r="G70" s="8" t="inlineStr">
        <is>
          <t>Mansi</t>
        </is>
      </c>
      <c r="H70" s="8" t="inlineStr"/>
      <c r="I70" s="8" t="inlineStr"/>
      <c r="J70" s="7" t="inlineStr">
        <is>
          <t>LLRD › 3. Detailed functional requirements</t>
        </is>
      </c>
    </row>
    <row r="71">
      <c r="A71" s="7" t="inlineStr">
        <is>
          <t>LLR-4.7</t>
        </is>
      </c>
      <c r="B71" s="7" t="inlineStr">
        <is>
          <t>Functional (LLR)</t>
        </is>
      </c>
      <c r="C71" s="7" t="inlineStr">
        <is>
          <t>HLR-4</t>
        </is>
      </c>
      <c r="D71" s="8" t="inlineStr">
        <is>
          <t>When a completion unlocks a reward, the completion response includes it and the UI shows a celebration toast</t>
        </is>
      </c>
      <c r="E71" s="8" t="inlineStr">
        <is>
          <t>Built &amp; tested</t>
        </is>
      </c>
      <c r="F71" s="8" t="inlineStr">
        <is>
          <t>Must</t>
        </is>
      </c>
      <c r="G71" s="8" t="inlineStr">
        <is>
          <t>Mansi</t>
        </is>
      </c>
      <c r="H71" s="8" t="inlineStr"/>
      <c r="I71" s="8" t="inlineStr"/>
      <c r="J71" s="7" t="inlineStr">
        <is>
          <t>LLRD › 3. Detailed functional requirements</t>
        </is>
      </c>
    </row>
    <row r="72">
      <c r="A72" s="7" t="inlineStr">
        <is>
          <t>LLR-4.8</t>
        </is>
      </c>
      <c r="B72" s="7" t="inlineStr">
        <is>
          <t>Functional (LLR)</t>
        </is>
      </c>
      <c r="C72" s="7" t="inlineStr">
        <is>
          <t>HLR-4</t>
        </is>
      </c>
      <c r="D72" s="8" t="inlineStr">
        <is>
          <t>Editing a reward's tasks is only offered while it's locked</t>
        </is>
      </c>
      <c r="E72" s="8" t="inlineStr">
        <is>
          <t>Built (manual test)</t>
        </is>
      </c>
      <c r="F72" s="8" t="inlineStr">
        <is>
          <t>Must</t>
        </is>
      </c>
      <c r="G72" s="8" t="inlineStr">
        <is>
          <t>Mansi</t>
        </is>
      </c>
      <c r="H72" s="8" t="inlineStr"/>
      <c r="I72" s="8" t="inlineStr"/>
      <c r="J72" s="7" t="inlineStr">
        <is>
          <t>LLRD › 3. Detailed functional requirements</t>
        </is>
      </c>
    </row>
    <row r="73">
      <c r="A73" s="7" t="inlineStr">
        <is>
          <t>LLR-4.9</t>
        </is>
      </c>
      <c r="B73" s="7" t="inlineStr">
        <is>
          <t>Functional (LLR)</t>
        </is>
      </c>
      <c r="C73" s="7" t="inlineStr">
        <is>
          <t>HLR-9</t>
        </is>
      </c>
      <c r="D73" s="8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E73" s="8" t="inlineStr">
        <is>
          <t>Built &amp; tested</t>
        </is>
      </c>
      <c r="F73" s="8" t="inlineStr">
        <is>
          <t>Must</t>
        </is>
      </c>
      <c r="G73" s="8" t="inlineStr">
        <is>
          <t>Mansi</t>
        </is>
      </c>
      <c r="H73" s="8" t="inlineStr"/>
      <c r="I73" s="8" t="inlineStr"/>
      <c r="J73" s="7" t="inlineStr">
        <is>
          <t>LLRD › 3. Detailed functional requirements</t>
        </is>
      </c>
    </row>
    <row r="74">
      <c r="A74" s="7" t="inlineStr">
        <is>
          <t>LLR-4.10</t>
        </is>
      </c>
      <c r="B74" s="7" t="inlineStr">
        <is>
          <t>Functional (LLR)</t>
        </is>
      </c>
      <c r="C74" s="7" t="inlineStr">
        <is>
          <t>HLR-9</t>
        </is>
      </c>
      <c r="D74" s="8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E74" s="8" t="inlineStr">
        <is>
          <t>Built &amp; tested</t>
        </is>
      </c>
      <c r="F74" s="8" t="inlineStr">
        <is>
          <t>Must</t>
        </is>
      </c>
      <c r="G74" s="8" t="inlineStr">
        <is>
          <t>Mansi</t>
        </is>
      </c>
      <c r="H74" s="8" t="inlineStr"/>
      <c r="I74" s="8" t="inlineStr"/>
      <c r="J74" s="7" t="inlineStr">
        <is>
          <t>LLRD › 3. Detailed functional requirements</t>
        </is>
      </c>
    </row>
    <row r="75">
      <c r="A75" s="7" t="inlineStr">
        <is>
          <t>LLR-4.11</t>
        </is>
      </c>
      <c r="B75" s="7" t="inlineStr">
        <is>
          <t>Functional (LLR)</t>
        </is>
      </c>
      <c r="C75" s="7" t="inlineStr">
        <is>
          <t>HLR-9</t>
        </is>
      </c>
      <c r="D75" s="8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E75" s="8" t="inlineStr">
        <is>
          <t>Built &amp; tested</t>
        </is>
      </c>
      <c r="F75" s="8" t="inlineStr">
        <is>
          <t>Must</t>
        </is>
      </c>
      <c r="G75" s="8" t="inlineStr">
        <is>
          <t>Mansi</t>
        </is>
      </c>
      <c r="H75" s="8" t="inlineStr"/>
      <c r="I75" s="8" t="inlineStr"/>
      <c r="J75" s="7" t="inlineStr">
        <is>
          <t>LLRD › 3. Detailed functional requirements</t>
        </is>
      </c>
    </row>
    <row r="76">
      <c r="A76" s="7" t="inlineStr">
        <is>
          <t>LLR-4.12</t>
        </is>
      </c>
      <c r="B76" s="7" t="inlineStr">
        <is>
          <t>Functional (LLR)</t>
        </is>
      </c>
      <c r="C76" s="7" t="inlineStr">
        <is>
          <t>HLR-9</t>
        </is>
      </c>
      <c r="D76" s="8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E76" s="8" t="inlineStr">
        <is>
          <t>Built &amp; tested</t>
        </is>
      </c>
      <c r="F76" s="8" t="inlineStr">
        <is>
          <t>Must</t>
        </is>
      </c>
      <c r="G76" s="8" t="inlineStr">
        <is>
          <t>Mansi</t>
        </is>
      </c>
      <c r="H76" s="8" t="inlineStr"/>
      <c r="I76" s="8" t="inlineStr"/>
      <c r="J76" s="7" t="inlineStr">
        <is>
          <t>LLRD › 3. Detailed functional requirements</t>
        </is>
      </c>
    </row>
    <row r="77">
      <c r="A77" s="7" t="inlineStr">
        <is>
          <t>LLR-4.13</t>
        </is>
      </c>
      <c r="B77" s="7" t="inlineStr">
        <is>
          <t>Functional (LLR)</t>
        </is>
      </c>
      <c r="C77" s="7" t="inlineStr">
        <is>
          <t>HLR-9</t>
        </is>
      </c>
      <c r="D77" s="8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E77" s="8" t="inlineStr">
        <is>
          <t>Built &amp; tested</t>
        </is>
      </c>
      <c r="F77" s="8" t="inlineStr">
        <is>
          <t>Must</t>
        </is>
      </c>
      <c r="G77" s="8" t="inlineStr">
        <is>
          <t>Mansi</t>
        </is>
      </c>
      <c r="H77" s="8" t="inlineStr"/>
      <c r="I77" s="8" t="inlineStr"/>
      <c r="J77" s="7" t="inlineStr">
        <is>
          <t>LLRD › 3. Detailed functional requirements</t>
        </is>
      </c>
    </row>
    <row r="78">
      <c r="A78" s="7" t="inlineStr">
        <is>
          <t>LLR-4.14</t>
        </is>
      </c>
      <c r="B78" s="7" t="inlineStr">
        <is>
          <t>Functional (LLR)</t>
        </is>
      </c>
      <c r="C78" s="7" t="inlineStr">
        <is>
          <t>HLR-9</t>
        </is>
      </c>
      <c r="D78" s="8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E78" s="8" t="inlineStr">
        <is>
          <t>Built &amp; tested</t>
        </is>
      </c>
      <c r="F78" s="8" t="inlineStr">
        <is>
          <t>Must</t>
        </is>
      </c>
      <c r="G78" s="8" t="inlineStr">
        <is>
          <t>Mansi</t>
        </is>
      </c>
      <c r="H78" s="8" t="inlineStr"/>
      <c r="I78" s="8" t="inlineStr"/>
      <c r="J78" s="7" t="inlineStr">
        <is>
          <t>LLRD › 3. Detailed functional requirements</t>
        </is>
      </c>
    </row>
    <row r="79">
      <c r="A79" s="7" t="inlineStr">
        <is>
          <t>LLR-4.15</t>
        </is>
      </c>
      <c r="B79" s="7" t="inlineStr">
        <is>
          <t>Functional (LLR)</t>
        </is>
      </c>
      <c r="C79" s="7" t="inlineStr">
        <is>
          <t>HLR-9</t>
        </is>
      </c>
      <c r="D79" s="8" t="inlineStr">
        <is>
          <t>On task detail, the *Rewards* card lists the rewards the task counts for (links to each reward) and *+ Link to a reward* opens the Link screen with this task picked</t>
        </is>
      </c>
      <c r="E79" s="8" t="inlineStr">
        <is>
          <t>Built &amp; tested</t>
        </is>
      </c>
      <c r="F79" s="8" t="inlineStr">
        <is>
          <t>Must</t>
        </is>
      </c>
      <c r="G79" s="8" t="inlineStr">
        <is>
          <t>Mansi</t>
        </is>
      </c>
      <c r="H79" s="8" t="inlineStr"/>
      <c r="I79" s="8" t="inlineStr"/>
      <c r="J79" s="7" t="inlineStr">
        <is>
          <t>LLRD › 3. Detailed functional requirements</t>
        </is>
      </c>
    </row>
    <row r="80">
      <c r="A80" s="7" t="inlineStr">
        <is>
          <t>LLR-4.16</t>
        </is>
      </c>
      <c r="B80" s="7" t="inlineStr">
        <is>
          <t>Functional (LLR)</t>
        </is>
      </c>
      <c r="C80" s="7" t="inlineStr">
        <is>
          <t>HLR-9</t>
        </is>
      </c>
      <c r="D80" s="8" t="inlineStr">
        <is>
          <t>N can be changed only while the reward is locked; lowering it re-checks the rule at once. A reward whose linked tasks already meet N unlocks as soon as it's linked</t>
        </is>
      </c>
      <c r="E80" s="8" t="inlineStr">
        <is>
          <t>Built &amp; tested</t>
        </is>
      </c>
      <c r="F80" s="8" t="inlineStr">
        <is>
          <t>Must</t>
        </is>
      </c>
      <c r="G80" s="8" t="inlineStr">
        <is>
          <t>Mansi</t>
        </is>
      </c>
      <c r="H80" s="8" t="inlineStr"/>
      <c r="I80" s="8" t="inlineStr"/>
      <c r="J80" s="7" t="inlineStr">
        <is>
          <t>LLRD › 3. Detailed functional requirements</t>
        </is>
      </c>
    </row>
    <row r="81">
      <c r="A81" s="7" t="inlineStr">
        <is>
          <t>LLR-4.17</t>
        </is>
      </c>
      <c r="B81" s="7" t="inlineStr">
        <is>
          <t>Functional (LLR)</t>
        </is>
      </c>
      <c r="C81" s="7" t="inlineStr">
        <is>
          <t>HLR-9</t>
        </is>
      </c>
      <c r="D81" s="8" t="inlineStr">
        <is>
          <t>Moving a reward to another area, or out of any area, never changes its links</t>
        </is>
      </c>
      <c r="E81" s="8" t="inlineStr">
        <is>
          <t>Built &amp; tested</t>
        </is>
      </c>
      <c r="F81" s="8" t="inlineStr">
        <is>
          <t>Must</t>
        </is>
      </c>
      <c r="G81" s="8" t="inlineStr">
        <is>
          <t>Mansi</t>
        </is>
      </c>
      <c r="H81" s="8" t="inlineStr"/>
      <c r="I81" s="8" t="inlineStr"/>
      <c r="J81" s="7" t="inlineStr">
        <is>
          <t>LLRD › 3. Detailed functional requirements</t>
        </is>
      </c>
    </row>
    <row r="82">
      <c r="A82" s="7" t="inlineStr">
        <is>
          <t>LLR-4.18</t>
        </is>
      </c>
      <c r="B82" s="7" t="inlineStr">
        <is>
          <t>Functional (LLR)</t>
        </is>
      </c>
      <c r="C82" s="7" t="inlineStr">
        <is>
          <t>HLR-9</t>
        </is>
      </c>
      <c r="D82" s="8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E82" s="8" t="inlineStr">
        <is>
          <t>Built &amp; tested</t>
        </is>
      </c>
      <c r="F82" s="8" t="inlineStr">
        <is>
          <t>Must</t>
        </is>
      </c>
      <c r="G82" s="8" t="inlineStr">
        <is>
          <t>Mansi</t>
        </is>
      </c>
      <c r="H82" s="8" t="inlineStr"/>
      <c r="I82" s="8" t="inlineStr"/>
      <c r="J82" s="7" t="inlineStr">
        <is>
          <t>LLRD › 3. Detailed functional requirements</t>
        </is>
      </c>
    </row>
    <row r="83">
      <c r="A83" s="7" t="inlineStr">
        <is>
          <t>LLR-5.1</t>
        </is>
      </c>
      <c r="B83" s="7" t="inlineStr">
        <is>
          <t>Functional (LLR)</t>
        </is>
      </c>
      <c r="C83" s="7" t="inlineStr">
        <is>
          <t>HLR-5</t>
        </is>
      </c>
      <c r="D83" s="8" t="inlineStr">
        <is>
          <t>Reads only GET /dashboard/summary; never the database</t>
        </is>
      </c>
      <c r="E83" s="8" t="inlineStr">
        <is>
          <t>Built &amp; tested</t>
        </is>
      </c>
      <c r="F83" s="8" t="inlineStr">
        <is>
          <t>Must</t>
        </is>
      </c>
      <c r="G83" s="8" t="inlineStr">
        <is>
          <t>Mansi</t>
        </is>
      </c>
      <c r="H83" s="8" t="inlineStr"/>
      <c r="I83" s="8" t="inlineStr"/>
      <c r="J83" s="7" t="inlineStr">
        <is>
          <t>LLRD › 3. Detailed functional requirements</t>
        </is>
      </c>
    </row>
    <row r="84">
      <c r="A84" s="7" t="inlineStr">
        <is>
          <t>LLR-5.2</t>
        </is>
      </c>
      <c r="B84" s="7" t="inlineStr">
        <is>
          <t>Functional (LLR)</t>
        </is>
      </c>
      <c r="C84" s="7" t="inlineStr">
        <is>
          <t>HLR-5</t>
        </is>
      </c>
      <c r="D84" s="8" t="inlineStr">
        <is>
          <t>KPIs: completions (window), active tasks, active streaks, unlocked + claimed rewards, AI acceptance rate (— when undefined)</t>
        </is>
      </c>
      <c r="E84" s="8" t="inlineStr">
        <is>
          <t>Built (manual test)</t>
        </is>
      </c>
      <c r="F84" s="8" t="inlineStr">
        <is>
          <t>Must</t>
        </is>
      </c>
      <c r="G84" s="8" t="inlineStr">
        <is>
          <t>Mansi</t>
        </is>
      </c>
      <c r="H84" s="8" t="inlineStr"/>
      <c r="I84" s="8" t="inlineStr"/>
      <c r="J84" s="7" t="inlineStr">
        <is>
          <t>LLRD › 3. Detailed functional requirements</t>
        </is>
      </c>
    </row>
    <row r="85">
      <c r="A85" s="7" t="inlineStr">
        <is>
          <t>LLR-5.3</t>
        </is>
      </c>
      <c r="B85" s="7" t="inlineStr">
        <is>
          <t>Functional (LLR)</t>
        </is>
      </c>
      <c r="C85" s="7" t="inlineStr">
        <is>
          <t>HLR-5</t>
        </is>
      </c>
      <c r="D85" s="8" t="inlineStr">
        <is>
          <t>Charts: completions by tile, by area (filterable by tile) and per day (empty days shown as gaps). Hover tooltips on every mark</t>
        </is>
      </c>
      <c r="E85" s="8" t="inlineStr">
        <is>
          <t>Built (manual test)</t>
        </is>
      </c>
      <c r="F85" s="8" t="inlineStr">
        <is>
          <t>Must</t>
        </is>
      </c>
      <c r="G85" s="8" t="inlineStr">
        <is>
          <t>Mansi</t>
        </is>
      </c>
      <c r="H85" s="8" t="inlineStr"/>
      <c r="I85" s="8" t="inlineStr"/>
      <c r="J85" s="7" t="inlineStr">
        <is>
          <t>LLRD › 3. Detailed functional requirements</t>
        </is>
      </c>
    </row>
    <row r="86">
      <c r="A86" s="7" t="inlineStr">
        <is>
          <t>LLR-5.4</t>
        </is>
      </c>
      <c r="B86" s="7" t="inlineStr">
        <is>
          <t>Functional (LLR)</t>
        </is>
      </c>
      <c r="C86" s="7" t="inlineStr">
        <is>
          <t>HLR-5</t>
        </is>
      </c>
      <c r="D86" s="8" t="inlineStr">
        <is>
          <t>Tables: active streaks (filterable by tile); reward progress with a progress bar</t>
        </is>
      </c>
      <c r="E86" s="8" t="inlineStr">
        <is>
          <t>Built (manual test)</t>
        </is>
      </c>
      <c r="F86" s="8" t="inlineStr">
        <is>
          <t>Must</t>
        </is>
      </c>
      <c r="G86" s="8" t="inlineStr">
        <is>
          <t>Mansi</t>
        </is>
      </c>
      <c r="H86" s="8" t="inlineStr"/>
      <c r="I86" s="8" t="inlineStr"/>
      <c r="J86" s="7" t="inlineStr">
        <is>
          <t>LLRD › 3. Detailed functional requirements</t>
        </is>
      </c>
    </row>
    <row r="87">
      <c r="A87" s="7" t="inlineStr">
        <is>
          <t>LLR-5.5</t>
        </is>
      </c>
      <c r="B87" s="7" t="inlineStr">
        <is>
          <t>Functional (LLR)</t>
        </is>
      </c>
      <c r="C87" s="7" t="inlineStr">
        <is>
          <t>HLR-5</t>
        </is>
      </c>
      <c r="D87" s="8" t="inlineStr">
        <is>
          <t>Filters: window (7/30/90 days/all time) and tile. They survive reruns (session_state)</t>
        </is>
      </c>
      <c r="E87" s="8" t="inlineStr">
        <is>
          <t>Built (manual test)</t>
        </is>
      </c>
      <c r="F87" s="8" t="inlineStr">
        <is>
          <t>Must</t>
        </is>
      </c>
      <c r="G87" s="8" t="inlineStr">
        <is>
          <t>Mansi</t>
        </is>
      </c>
      <c r="H87" s="8" t="inlineStr"/>
      <c r="I87" s="8" t="inlineStr"/>
      <c r="J87" s="7" t="inlineStr">
        <is>
          <t>LLRD › 3. Detailed functional requirements</t>
        </is>
      </c>
    </row>
    <row r="88">
      <c r="A88" s="7" t="inlineStr">
        <is>
          <t>LLR-5.6</t>
        </is>
      </c>
      <c r="B88" s="7" t="inlineStr">
        <is>
          <t>Functional (LLR)</t>
        </is>
      </c>
      <c r="C88" s="7" t="inlineStr">
        <is>
          <t>HLR-5</t>
        </is>
      </c>
      <c r="D88" s="8" t="inlineStr">
        <is>
          <t>Responses are cached 30 s per window. *Refresh now* clears the cache</t>
        </is>
      </c>
      <c r="E88" s="8" t="inlineStr">
        <is>
          <t>Built (manual test)</t>
        </is>
      </c>
      <c r="F88" s="8" t="inlineStr">
        <is>
          <t>Must</t>
        </is>
      </c>
      <c r="G88" s="8" t="inlineStr">
        <is>
          <t>Mansi</t>
        </is>
      </c>
      <c r="H88" s="8" t="inlineStr"/>
      <c r="I88" s="8" t="inlineStr"/>
      <c r="J88" s="7" t="inlineStr">
        <is>
          <t>LLRD › 3. Detailed functional requirements</t>
        </is>
      </c>
    </row>
    <row r="89">
      <c r="A89" s="7" t="inlineStr">
        <is>
          <t>LLR-5.7</t>
        </is>
      </c>
      <c r="B89" s="7" t="inlineStr">
        <is>
          <t>Functional (LLR)</t>
        </is>
      </c>
      <c r="C89" s="7" t="inlineStr">
        <is>
          <t>HLR-5</t>
        </is>
      </c>
      <c r="D89" s="8" t="inlineStr">
        <is>
          <t>Unlocked rewards can be claimed from the dashboard. After claiming, the cache is cleared and the page shows fresh data</t>
        </is>
      </c>
      <c r="E89" s="8" t="inlineStr">
        <is>
          <t>Built (manual test)</t>
        </is>
      </c>
      <c r="F89" s="8" t="inlineStr">
        <is>
          <t>Must</t>
        </is>
      </c>
      <c r="G89" s="8" t="inlineStr">
        <is>
          <t>Mansi</t>
        </is>
      </c>
      <c r="H89" s="8" t="inlineStr"/>
      <c r="I89" s="8" t="inlineStr"/>
      <c r="J89" s="7" t="inlineStr">
        <is>
          <t>LLRD › 3. Detailed functional requirements</t>
        </is>
      </c>
    </row>
    <row r="90">
      <c r="A90" s="7" t="inlineStr">
        <is>
          <t>LLR-5.8</t>
        </is>
      </c>
      <c r="B90" s="7" t="inlineStr">
        <is>
          <t>Functional (LLR)</t>
        </is>
      </c>
      <c r="C90" s="7" t="inlineStr">
        <is>
          <t>HLR-5</t>
        </is>
      </c>
      <c r="D90" s="8" t="inlineStr">
        <is>
          <t>If the BFF is unreachable, show the error and *Try again* (no stack traces)</t>
        </is>
      </c>
      <c r="E90" s="8" t="inlineStr">
        <is>
          <t>Built (manual test)</t>
        </is>
      </c>
      <c r="F90" s="8" t="inlineStr">
        <is>
          <t>Must</t>
        </is>
      </c>
      <c r="G90" s="8" t="inlineStr">
        <is>
          <t>Mansi</t>
        </is>
      </c>
      <c r="H90" s="8" t="inlineStr"/>
      <c r="I90" s="8" t="inlineStr"/>
      <c r="J90" s="7" t="inlineStr">
        <is>
          <t>LLRD › 3. Detailed functional requirements</t>
        </is>
      </c>
    </row>
    <row r="91">
      <c r="A91" s="7" t="inlineStr">
        <is>
          <t>LLR-5.9</t>
        </is>
      </c>
      <c r="B91" s="7" t="inlineStr">
        <is>
          <t>Functional (LLR)</t>
        </is>
      </c>
      <c r="C91" s="7" t="inlineStr">
        <is>
          <t>HLR-5</t>
        </is>
      </c>
      <c r="D91" s="8" t="inlineStr">
        <is>
          <t>Streaks and rewards ignore the window; completion aggregates respect it</t>
        </is>
      </c>
      <c r="E91" s="8" t="inlineStr">
        <is>
          <t>Built &amp; tested</t>
        </is>
      </c>
      <c r="F91" s="8" t="inlineStr">
        <is>
          <t>Must</t>
        </is>
      </c>
      <c r="G91" s="8" t="inlineStr">
        <is>
          <t>Mansi</t>
        </is>
      </c>
      <c r="H91" s="8" t="inlineStr"/>
      <c r="I91" s="8" t="inlineStr"/>
      <c r="J91" s="7" t="inlineStr">
        <is>
          <t>LLRD › 3. Detailed functional requirements</t>
        </is>
      </c>
    </row>
    <row r="92">
      <c r="A92" s="7" t="inlineStr">
        <is>
          <t>LLR-5.10</t>
        </is>
      </c>
      <c r="B92" s="7" t="inlineStr">
        <is>
          <t>Functional (LLR)</t>
        </is>
      </c>
      <c r="C92" s="7" t="inlineStr">
        <is>
          <t>HLR-5</t>
        </is>
      </c>
      <c r="D92" s="8" t="inlineStr">
        <is>
          <t>Summary payload is flat snake_case records; React endpoints are camelCase (per-client shaping)</t>
        </is>
      </c>
      <c r="E92" s="8" t="inlineStr">
        <is>
          <t>Built &amp; tested</t>
        </is>
      </c>
      <c r="F92" s="8" t="inlineStr">
        <is>
          <t>Must</t>
        </is>
      </c>
      <c r="G92" s="8" t="inlineStr">
        <is>
          <t>Mansi</t>
        </is>
      </c>
      <c r="H92" s="8" t="inlineStr"/>
      <c r="I92" s="8" t="inlineStr"/>
      <c r="J92" s="7" t="inlineStr">
        <is>
          <t>LLRD › 3. Detailed functional requirements</t>
        </is>
      </c>
    </row>
    <row r="93">
      <c r="A93" s="7" t="inlineStr">
        <is>
          <t>LLR-5.11</t>
        </is>
      </c>
      <c r="B93" s="7" t="inlineStr">
        <is>
          <t>Functional (LLR)</t>
        </is>
      </c>
      <c r="C93" s="7" t="inlineStr">
        <is>
          <t>HLR-5</t>
        </is>
      </c>
      <c r="D93" s="8" t="inlineStr">
        <is>
          <t>Reward progress rows include the reward's tile and area; the dashboard's tile filter applies to rewards as well as completions and streaks</t>
        </is>
      </c>
      <c r="E93" s="8" t="inlineStr">
        <is>
          <t>Next</t>
        </is>
      </c>
      <c r="F93" s="8" t="inlineStr">
        <is>
          <t>Must</t>
        </is>
      </c>
      <c r="G93" s="8" t="inlineStr">
        <is>
          <t>Mansi</t>
        </is>
      </c>
      <c r="H93" s="8" t="inlineStr"/>
      <c r="I93" s="8" t="inlineStr"/>
      <c r="J93" s="7" t="inlineStr">
        <is>
          <t>LLRD › 3. Detailed functional requirements</t>
        </is>
      </c>
    </row>
    <row r="94">
      <c r="A94" s="7" t="inlineStr">
        <is>
          <t>LLR-6.1</t>
        </is>
      </c>
      <c r="B94" s="7" t="inlineStr">
        <is>
          <t>Functional (LLR)</t>
        </is>
      </c>
      <c r="C94" s="7" t="inlineStr">
        <is>
          <t>HLR-6</t>
        </is>
      </c>
      <c r="D94" s="8" t="inlineStr">
        <is>
          <t>Attach 1–5 photos per run to an area (JPEG/PNG/WebP, ≤ 5 MB each; type checked by content, not extension)</t>
        </is>
      </c>
      <c r="E94" s="8" t="inlineStr">
        <is>
          <t>Planned</t>
        </is>
      </c>
      <c r="F94" s="8" t="inlineStr">
        <is>
          <t>Should</t>
        </is>
      </c>
      <c r="G94" s="8" t="inlineStr">
        <is>
          <t>Mansi</t>
        </is>
      </c>
      <c r="H94" s="8" t="inlineStr"/>
      <c r="I94" s="8" t="inlineStr"/>
      <c r="J94" s="7" t="inlineStr">
        <is>
          <t>LLRD › 3. Detailed functional requirements</t>
        </is>
      </c>
    </row>
    <row r="95">
      <c r="A95" s="7" t="inlineStr">
        <is>
          <t>LLR-6.2</t>
        </is>
      </c>
      <c r="B95" s="7" t="inlineStr">
        <is>
          <t>Functional (LLR)</t>
        </is>
      </c>
      <c r="C95" s="7" t="inlineStr">
        <is>
          <t>HLR-6</t>
        </is>
      </c>
      <c r="D95" s="8" t="inlineStr">
        <is>
          <t>Photos are stored privately with random names and are never publicly addressable</t>
        </is>
      </c>
      <c r="E95" s="8" t="inlineStr">
        <is>
          <t>Planned</t>
        </is>
      </c>
      <c r="F95" s="8" t="inlineStr">
        <is>
          <t>Should</t>
        </is>
      </c>
      <c r="G95" s="8" t="inlineStr">
        <is>
          <t>Mansi</t>
        </is>
      </c>
      <c r="H95" s="8" t="inlineStr"/>
      <c r="I95" s="8" t="inlineStr"/>
      <c r="J95" s="7" t="inlineStr">
        <is>
          <t>LLRD › 3. Detailed functional requirements</t>
        </is>
      </c>
    </row>
    <row r="96">
      <c r="A96" s="7" t="inlineStr">
        <is>
          <t>LLR-6.3</t>
        </is>
      </c>
      <c r="B96" s="7" t="inlineStr">
        <is>
          <t>Functional (LLR)</t>
        </is>
      </c>
      <c r="C96" s="7" t="inlineStr">
        <is>
          <t>HLR-6</t>
        </is>
      </c>
      <c r="D96" s="8" t="inlineStr">
        <is>
          <t>Starting a suggestion run returns immediately (202) with a run id; the UI shows a loading state</t>
        </is>
      </c>
      <c r="E96" s="8" t="inlineStr">
        <is>
          <t>Planned</t>
        </is>
      </c>
      <c r="F96" s="8" t="inlineStr">
        <is>
          <t>Should</t>
        </is>
      </c>
      <c r="G96" s="8" t="inlineStr">
        <is>
          <t>Mansi</t>
        </is>
      </c>
      <c r="H96" s="8" t="inlineStr"/>
      <c r="I96" s="8" t="inlineStr"/>
      <c r="J96" s="7" t="inlineStr">
        <is>
          <t>LLRD › 3. Detailed functional requirements</t>
        </is>
      </c>
    </row>
    <row r="97">
      <c r="A97" s="7" t="inlineStr">
        <is>
          <t>LLR-6.4</t>
        </is>
      </c>
      <c r="B97" s="7" t="inlineStr">
        <is>
          <t>Functional (LLR)</t>
        </is>
      </c>
      <c r="C97" s="7" t="inlineStr">
        <is>
          <t>HLR-6</t>
        </is>
      </c>
      <c r="D97" s="8" t="inlineStr">
        <is>
          <t>While a run is in progress, the manual *Add a task* form stays fully usable</t>
        </is>
      </c>
      <c r="E97" s="8" t="inlineStr">
        <is>
          <t>Planned</t>
        </is>
      </c>
      <c r="F97" s="8" t="inlineStr">
        <is>
          <t>Should</t>
        </is>
      </c>
      <c r="G97" s="8" t="inlineStr">
        <is>
          <t>Mansi</t>
        </is>
      </c>
      <c r="H97" s="8" t="inlineStr"/>
      <c r="I97" s="8" t="inlineStr"/>
      <c r="J97" s="7" t="inlineStr">
        <is>
          <t>LLRD › 3. Detailed functional requirements</t>
        </is>
      </c>
    </row>
    <row r="98">
      <c r="A98" s="7" t="inlineStr">
        <is>
          <t>LLR-6.5</t>
        </is>
      </c>
      <c r="B98" s="7" t="inlineStr">
        <is>
          <t>Functional (LLR)</t>
        </is>
      </c>
      <c r="C98" s="7" t="inlineStr">
        <is>
          <t>HLR-6</t>
        </is>
      </c>
      <c r="D98" s="8" t="inlineStr">
        <is>
          <t>Each suggestion has a title (≤ 200), why (≤ 500), priority and frequency, validated against a strict schema</t>
        </is>
      </c>
      <c r="E98" s="8" t="inlineStr">
        <is>
          <t>Planned</t>
        </is>
      </c>
      <c r="F98" s="8" t="inlineStr">
        <is>
          <t>Should</t>
        </is>
      </c>
      <c r="G98" s="8" t="inlineStr">
        <is>
          <t>Mansi</t>
        </is>
      </c>
      <c r="H98" s="8" t="inlineStr"/>
      <c r="I98" s="8" t="inlineStr"/>
      <c r="J98" s="7" t="inlineStr">
        <is>
          <t>LLRD › 3. Detailed functional requirements</t>
        </is>
      </c>
    </row>
    <row r="99">
      <c r="A99" s="7" t="inlineStr">
        <is>
          <t>LLR-6.6</t>
        </is>
      </c>
      <c r="B99" s="7" t="inlineStr">
        <is>
          <t>Functional (LLR)</t>
        </is>
      </c>
      <c r="C99" s="7" t="inlineStr">
        <is>
          <t>HLR-6</t>
        </is>
      </c>
      <c r="D99" s="8" t="inlineStr">
        <is>
          <t>The user marks each suggestion Relevant / Not relevant / Ignore. Relevant creates a task with source = ai. A decision is final (409 on re-decide)</t>
        </is>
      </c>
      <c r="E99" s="8" t="inlineStr">
        <is>
          <t>Planned</t>
        </is>
      </c>
      <c r="F99" s="8" t="inlineStr">
        <is>
          <t>Should</t>
        </is>
      </c>
      <c r="G99" s="8" t="inlineStr">
        <is>
          <t>Mansi</t>
        </is>
      </c>
      <c r="H99" s="8" t="inlineStr"/>
      <c r="I99" s="8" t="inlineStr"/>
      <c r="J99" s="7" t="inlineStr">
        <is>
          <t>LLRD › 3. Detailed functional requirements</t>
        </is>
      </c>
    </row>
    <row r="100">
      <c r="A100" s="7" t="inlineStr">
        <is>
          <t>LLR-6.7</t>
        </is>
      </c>
      <c r="B100" s="7" t="inlineStr">
        <is>
          <t>Functional (LLR)</t>
        </is>
      </c>
      <c r="C100" s="7" t="inlineStr">
        <is>
          <t>HLR-6</t>
        </is>
      </c>
      <c r="D100" s="8" t="inlineStr">
        <is>
          <t>On timeout (30 s), invalid output or missing API key: retry once where sensible, then show "AI suggestions unavailable, add tasks manually". The page never breaks</t>
        </is>
      </c>
      <c r="E100" s="8" t="inlineStr">
        <is>
          <t>Planned</t>
        </is>
      </c>
      <c r="F100" s="8" t="inlineStr">
        <is>
          <t>Should</t>
        </is>
      </c>
      <c r="G100" s="8" t="inlineStr">
        <is>
          <t>Mansi</t>
        </is>
      </c>
      <c r="H100" s="8" t="inlineStr"/>
      <c r="I100" s="8" t="inlineStr"/>
      <c r="J100" s="7" t="inlineStr">
        <is>
          <t>LLRD › 3. Detailed functional requirements</t>
        </is>
      </c>
    </row>
    <row r="101">
      <c r="A101" s="7" t="inlineStr">
        <is>
          <t>LLR-6.8</t>
        </is>
      </c>
      <c r="B101" s="7" t="inlineStr">
        <is>
          <t>Functional (LLR)</t>
        </is>
      </c>
      <c r="C101" s="7" t="inlineStr">
        <is>
          <t>HLR-6</t>
        </is>
      </c>
      <c r="D101" s="8" t="inlineStr">
        <is>
          <t>The API key exists only in BFF environment variables</t>
        </is>
      </c>
      <c r="E101" s="8" t="inlineStr">
        <is>
          <t>Planned</t>
        </is>
      </c>
      <c r="F101" s="8" t="inlineStr">
        <is>
          <t>Should</t>
        </is>
      </c>
      <c r="G101" s="8" t="inlineStr">
        <is>
          <t>Mansi</t>
        </is>
      </c>
      <c r="H101" s="8" t="inlineStr"/>
      <c r="I101" s="8" t="inlineStr"/>
      <c r="J101" s="7" t="inlineStr">
        <is>
          <t>LLRD › 3. Detailed functional requirements</t>
        </is>
      </c>
    </row>
    <row r="102">
      <c r="A102" s="7" t="inlineStr">
        <is>
          <t>LLR-6.9</t>
        </is>
      </c>
      <c r="B102" s="7" t="inlineStr">
        <is>
          <t>Functional (LLR)</t>
        </is>
      </c>
      <c r="C102" s="7" t="inlineStr">
        <is>
          <t>HLR-6</t>
        </is>
      </c>
      <c r="D102" s="8" t="inlineStr">
        <is>
          <t>Decisions feed the dashboard acceptance rate (relevant ÷ decided)</t>
        </is>
      </c>
      <c r="E102" s="8" t="inlineStr">
        <is>
          <t>Planned</t>
        </is>
      </c>
      <c r="F102" s="8" t="inlineStr">
        <is>
          <t>Should</t>
        </is>
      </c>
      <c r="G102" s="8" t="inlineStr">
        <is>
          <t>Mansi</t>
        </is>
      </c>
      <c r="H102" s="8" t="inlineStr"/>
      <c r="I102" s="8" t="inlineStr"/>
      <c r="J102" s="7" t="inlineStr">
        <is>
          <t>LLRD › 3. Detailed functional requirements</t>
        </is>
      </c>
    </row>
    <row r="103">
      <c r="A103" s="7" t="inlineStr">
        <is>
          <t>LLR-7.1</t>
        </is>
      </c>
      <c r="B103" s="7" t="inlineStr">
        <is>
          <t>Functional (LLR)</t>
        </is>
      </c>
      <c r="C103" s="7" t="inlineStr">
        <is>
          <t>HLR-7</t>
        </is>
      </c>
      <c r="D103" s="8" t="inlineStr">
        <is>
          <t>The MFE is built separately and exposes ./RewardsApp via remoteEntry.js</t>
        </is>
      </c>
      <c r="E103" s="8" t="inlineStr">
        <is>
          <t>Built &amp; tested</t>
        </is>
      </c>
      <c r="F103" s="8" t="inlineStr">
        <is>
          <t>Must</t>
        </is>
      </c>
      <c r="G103" s="8" t="inlineStr">
        <is>
          <t>Mansi</t>
        </is>
      </c>
      <c r="H103" s="8" t="inlineStr"/>
      <c r="I103" s="8" t="inlineStr"/>
      <c r="J103" s="7" t="inlineStr">
        <is>
          <t>LLRD › 3. Detailed functional requirements</t>
        </is>
      </c>
    </row>
    <row r="104">
      <c r="A104" s="7" t="inlineStr">
        <is>
          <t>LLR-7.2</t>
        </is>
      </c>
      <c r="B104" s="7" t="inlineStr">
        <is>
          <t>Functional (LLR)</t>
        </is>
      </c>
      <c r="C104" s="7" t="inlineStr">
        <is>
          <t>HLR-7</t>
        </is>
      </c>
      <c r="D104" s="8" t="inlineStr">
        <is>
          <t>The host mounts it on #/rewards and every #/rewards/*. The nav item stays active on sub-routes</t>
        </is>
      </c>
      <c r="E104" s="8" t="inlineStr">
        <is>
          <t>Built (manual test)</t>
        </is>
      </c>
      <c r="F104" s="8" t="inlineStr">
        <is>
          <t>Must</t>
        </is>
      </c>
      <c r="G104" s="8" t="inlineStr">
        <is>
          <t>Mansi</t>
        </is>
      </c>
      <c r="H104" s="8" t="inlineStr"/>
      <c r="I104" s="8" t="inlineStr"/>
      <c r="J104" s="7" t="inlineStr">
        <is>
          <t>LLRD › 3. Detailed functional requirements</t>
        </is>
      </c>
    </row>
    <row r="105">
      <c r="A105" s="7" t="inlineStr">
        <is>
          <t>LLR-7.3</t>
        </is>
      </c>
      <c r="B105" s="7" t="inlineStr">
        <is>
          <t>Functional (LLR)</t>
        </is>
      </c>
      <c r="C105" s="7" t="inlineStr">
        <is>
          <t>HLR-7</t>
        </is>
      </c>
      <c r="D105" s="8" t="inlineStr">
        <is>
          <t>Host and remote share one React instance; the remote bundles no React</t>
        </is>
      </c>
      <c r="E105" s="8" t="inlineStr">
        <is>
          <t>Built (manual test)</t>
        </is>
      </c>
      <c r="F105" s="8" t="inlineStr">
        <is>
          <t>Must</t>
        </is>
      </c>
      <c r="G105" s="8" t="inlineStr">
        <is>
          <t>Mansi</t>
        </is>
      </c>
      <c r="H105" s="8" t="inlineStr"/>
      <c r="I105" s="8" t="inlineStr"/>
      <c r="J105" s="7" t="inlineStr">
        <is>
          <t>LLRD › 3. Detailed functional requirements</t>
        </is>
      </c>
    </row>
    <row r="106">
      <c r="A106" s="7" t="inlineStr">
        <is>
          <t>LLR-7.4</t>
        </is>
      </c>
      <c r="B106" s="7" t="inlineStr">
        <is>
          <t>Functional (LLR)</t>
        </is>
      </c>
      <c r="C106" s="7" t="inlineStr">
        <is>
          <t>HLR-7</t>
        </is>
      </c>
      <c r="D106" s="8" t="inlineStr">
        <is>
          <t>If the remote fails to load, the host shows "Rewards is unavailable right now" and a reload button. Other pages are unaffected</t>
        </is>
      </c>
      <c r="E106" s="8" t="inlineStr">
        <is>
          <t>Built (manual test)</t>
        </is>
      </c>
      <c r="F106" s="8" t="inlineStr">
        <is>
          <t>Must</t>
        </is>
      </c>
      <c r="G106" s="8" t="inlineStr">
        <is>
          <t>Mansi</t>
        </is>
      </c>
      <c r="H106" s="8" t="inlineStr"/>
      <c r="I106" s="8" t="inlineStr"/>
      <c r="J106" s="7" t="inlineStr">
        <is>
          <t>LLRD › 3. Detailed functional requirements</t>
        </is>
      </c>
    </row>
    <row r="107">
      <c r="A107" s="7" t="inlineStr">
        <is>
          <t>LLR-7.5</t>
        </is>
      </c>
      <c r="B107" s="7" t="inlineStr">
        <is>
          <t>Functional (LLR)</t>
        </is>
      </c>
      <c r="C107" s="7" t="inlineStr">
        <is>
          <t>HLR-7</t>
        </is>
      </c>
      <c r="D107" s="8" t="inlineStr">
        <is>
          <t>MFE styles are scoped (.rw-app) and don't alter host styles</t>
        </is>
      </c>
      <c r="E107" s="8" t="inlineStr">
        <is>
          <t>Built (manual test)</t>
        </is>
      </c>
      <c r="F107" s="8" t="inlineStr">
        <is>
          <t>Must</t>
        </is>
      </c>
      <c r="G107" s="8" t="inlineStr">
        <is>
          <t>Mansi</t>
        </is>
      </c>
      <c r="H107" s="8" t="inlineStr"/>
      <c r="I107" s="8" t="inlineStr"/>
      <c r="J107" s="7" t="inlineStr">
        <is>
          <t>LLRD › 3. Detailed functional requirements</t>
        </is>
      </c>
    </row>
    <row r="108">
      <c r="A108" s="7" t="inlineStr">
        <is>
          <t>LLR-7.6</t>
        </is>
      </c>
      <c r="B108" s="7" t="inlineStr">
        <is>
          <t>Functional (LLR)</t>
        </is>
      </c>
      <c r="C108" s="7" t="inlineStr">
        <is>
          <t>HLR-7</t>
        </is>
      </c>
      <c r="D108" s="8" t="inlineStr">
        <is>
          <t>The remote URL is configurable per environment (VITE_REWARDS_REMOTE_URL)</t>
        </is>
      </c>
      <c r="E108" s="8" t="inlineStr">
        <is>
          <t>Built &amp; tested</t>
        </is>
      </c>
      <c r="F108" s="8" t="inlineStr">
        <is>
          <t>Must</t>
        </is>
      </c>
      <c r="G108" s="8" t="inlineStr">
        <is>
          <t>Mansi</t>
        </is>
      </c>
      <c r="H108" s="8" t="inlineStr"/>
      <c r="I108" s="8" t="inlineStr"/>
      <c r="J108" s="7" t="inlineStr">
        <is>
          <t>LLRD › 3. Detailed functional requirements</t>
        </is>
      </c>
    </row>
    <row r="109">
      <c r="A109" s="7" t="inlineStr">
        <is>
          <t>LLR-7.7</t>
        </is>
      </c>
      <c r="B109" s="7" t="inlineStr">
        <is>
          <t>Functional (LLR)</t>
        </is>
      </c>
      <c r="C109" s="7" t="inlineStr">
        <is>
          <t>HLR-7</t>
        </is>
      </c>
      <c r="D109" s="8" t="inlineStr">
        <is>
          <t>The MFE runs standalone for development (npm run dev)</t>
        </is>
      </c>
      <c r="E109" s="8" t="inlineStr">
        <is>
          <t>Built (manual test)</t>
        </is>
      </c>
      <c r="F109" s="8" t="inlineStr">
        <is>
          <t>Must</t>
        </is>
      </c>
      <c r="G109" s="8" t="inlineStr">
        <is>
          <t>Mansi</t>
        </is>
      </c>
      <c r="H109" s="8" t="inlineStr"/>
      <c r="I109" s="8" t="inlineStr"/>
      <c r="J109" s="7" t="inlineStr">
        <is>
          <t>LLRD › 3. Detailed functional requirements</t>
        </is>
      </c>
    </row>
    <row r="110">
      <c r="A110" s="7" t="inlineStr">
        <is>
          <t>LLR-7.8</t>
        </is>
      </c>
      <c r="B110" s="7" t="inlineStr">
        <is>
          <t>Functional (LLR)</t>
        </is>
      </c>
      <c r="C110" s="7" t="inlineStr">
        <is>
          <t>HLR-7</t>
        </is>
      </c>
      <c r="D110" s="8" t="inlineStr">
        <is>
          <t>Every screen has loading, error (with retry) and empty states</t>
        </is>
      </c>
      <c r="E110" s="8" t="inlineStr">
        <is>
          <t>Built (manual test)</t>
        </is>
      </c>
      <c r="F110" s="8" t="inlineStr">
        <is>
          <t>Must</t>
        </is>
      </c>
      <c r="G110" s="8" t="inlineStr">
        <is>
          <t>Mansi</t>
        </is>
      </c>
      <c r="H110" s="8" t="inlineStr"/>
      <c r="I110" s="8" t="inlineStr"/>
      <c r="J110" s="7" t="inlineStr">
        <is>
          <t>LLRD › 3. Detailed functional requirements</t>
        </is>
      </c>
    </row>
    <row r="111">
      <c r="A111" s="7" t="inlineStr">
        <is>
          <t>LLR-8.1</t>
        </is>
      </c>
      <c r="B111" s="7" t="inlineStr">
        <is>
          <t>Functional (LLR)</t>
        </is>
      </c>
      <c r="C111" s="7" t="inlineStr">
        <is>
          <t>HLR-8</t>
        </is>
      </c>
      <c r="D111" s="8" t="inlineStr">
        <is>
          <t>Every endpoint except /health needs Authorization: Bearer &lt;demo token&gt;; otherwise 401</t>
        </is>
      </c>
      <c r="E111" s="8" t="inlineStr">
        <is>
          <t>Built &amp; tested</t>
        </is>
      </c>
      <c r="F111" s="8" t="inlineStr">
        <is>
          <t>Must</t>
        </is>
      </c>
      <c r="G111" s="8" t="inlineStr">
        <is>
          <t>Mansi</t>
        </is>
      </c>
      <c r="H111" s="8" t="inlineStr"/>
      <c r="I111" s="8" t="inlineStr"/>
      <c r="J111" s="7" t="inlineStr">
        <is>
          <t>LLRD › 3. Detailed functional requirements</t>
        </is>
      </c>
    </row>
    <row r="112">
      <c r="A112" s="7" t="inlineStr">
        <is>
          <t>LLR-8.2</t>
        </is>
      </c>
      <c r="B112" s="7" t="inlineStr">
        <is>
          <t>Functional (LLR)</t>
        </is>
      </c>
      <c r="C112" s="7" t="inlineStr">
        <is>
          <t>HLR-8</t>
        </is>
      </c>
      <c r="D112" s="8" t="inlineStr">
        <is>
          <t>CORS allows only the configured origins</t>
        </is>
      </c>
      <c r="E112" s="8" t="inlineStr">
        <is>
          <t>Built &amp; tested</t>
        </is>
      </c>
      <c r="F112" s="8" t="inlineStr">
        <is>
          <t>Must</t>
        </is>
      </c>
      <c r="G112" s="8" t="inlineStr">
        <is>
          <t>Mansi</t>
        </is>
      </c>
      <c r="H112" s="8" t="inlineStr"/>
      <c r="I112" s="8" t="inlineStr"/>
      <c r="J112" s="7" t="inlineStr">
        <is>
          <t>LLRD › 3. Detailed functional requirements</t>
        </is>
      </c>
    </row>
    <row r="113">
      <c r="A113" s="7" t="inlineStr">
        <is>
          <t>LLR-8.3</t>
        </is>
      </c>
      <c r="B113" s="7" t="inlineStr">
        <is>
          <t>Functional (LLR)</t>
        </is>
      </c>
      <c r="C113" s="7" t="inlineStr">
        <is>
          <t>HLR-8</t>
        </is>
      </c>
      <c r="D113" s="8" t="inlineStr">
        <is>
          <t>OpenAPI documentation is served at /docs</t>
        </is>
      </c>
      <c r="E113" s="8" t="inlineStr">
        <is>
          <t>Built &amp; tested</t>
        </is>
      </c>
      <c r="F113" s="8" t="inlineStr">
        <is>
          <t>Must</t>
        </is>
      </c>
      <c r="G113" s="8" t="inlineStr">
        <is>
          <t>Mansi</t>
        </is>
      </c>
      <c r="H113" s="8" t="inlineStr"/>
      <c r="I113" s="8" t="inlineStr"/>
      <c r="J113" s="7" t="inlineStr">
        <is>
          <t>LLRD › 3. Detailed functional requirements</t>
        </is>
      </c>
    </row>
    <row r="114">
      <c r="A114" s="7" t="inlineStr">
        <is>
          <t>LLR-8.4</t>
        </is>
      </c>
      <c r="B114" s="7" t="inlineStr">
        <is>
          <t>Functional (LLR)</t>
        </is>
      </c>
      <c r="C114" s="7" t="inlineStr">
        <is>
          <t>HLR-8</t>
        </is>
      </c>
      <c r="D114" s="8" t="inlineStr">
        <is>
          <t>Errors use {detail} with status codes 401, 404, 409 and 422 as catalogued in LLD §3.3</t>
        </is>
      </c>
      <c r="E114" s="8" t="inlineStr">
        <is>
          <t>Built &amp; tested</t>
        </is>
      </c>
      <c r="F114" s="8" t="inlineStr">
        <is>
          <t>Must</t>
        </is>
      </c>
      <c r="G114" s="8" t="inlineStr">
        <is>
          <t>Mansi</t>
        </is>
      </c>
      <c r="H114" s="8" t="inlineStr"/>
      <c r="I114" s="8" t="inlineStr"/>
      <c r="J114" s="7" t="inlineStr">
        <is>
          <t>LLRD › 3. Detailed functional requirements</t>
        </is>
      </c>
    </row>
    <row r="115">
      <c r="A115" s="7" t="inlineStr">
        <is>
          <t>LLR-8.5</t>
        </is>
      </c>
      <c r="B115" s="7" t="inlineStr">
        <is>
          <t>Functional (LLR)</t>
        </is>
      </c>
      <c r="C115" s="7" t="inlineStr">
        <is>
          <t>HLR-8</t>
        </is>
      </c>
      <c r="D115" s="8" t="inlineStr">
        <is>
          <t>Request bodies accept camelCase or snake_case. React responses are camelCase; dashboard responses are snake_case</t>
        </is>
      </c>
      <c r="E115" s="8" t="inlineStr">
        <is>
          <t>Built &amp; tested</t>
        </is>
      </c>
      <c r="F115" s="8" t="inlineStr">
        <is>
          <t>Must</t>
        </is>
      </c>
      <c r="G115" s="8" t="inlineStr">
        <is>
          <t>Mansi</t>
        </is>
      </c>
      <c r="H115" s="8" t="inlineStr"/>
      <c r="I115" s="8" t="inlineStr"/>
      <c r="J115" s="7" t="inlineStr">
        <is>
          <t>LLRD › 3. Detailed functional requirements</t>
        </is>
      </c>
    </row>
    <row r="116">
      <c r="A116" s="7" t="inlineStr">
        <is>
          <t>LLR-8.6</t>
        </is>
      </c>
      <c r="B116" s="7" t="inlineStr">
        <is>
          <t>Functional (LLR)</t>
        </is>
      </c>
      <c r="C116" s="7" t="inlineStr">
        <is>
          <t>HLR-8</t>
        </is>
      </c>
      <c r="D116" s="8" t="inlineStr">
        <is>
          <t>Timestamps are ISO-8601 UTC in responses</t>
        </is>
      </c>
      <c r="E116" s="8" t="inlineStr">
        <is>
          <t>Built &amp; tested</t>
        </is>
      </c>
      <c r="F116" s="8" t="inlineStr">
        <is>
          <t>Must</t>
        </is>
      </c>
      <c r="G116" s="8" t="inlineStr">
        <is>
          <t>Mansi</t>
        </is>
      </c>
      <c r="H116" s="8" t="inlineStr"/>
      <c r="I116" s="8" t="inlineStr"/>
      <c r="J116" s="7" t="inlineStr">
        <is>
          <t>LLRD › 3. Detailed functional requirements</t>
        </is>
      </c>
    </row>
    <row r="117">
      <c r="A117" s="7" t="inlineStr">
        <is>
          <t>LLR-8.7</t>
        </is>
      </c>
      <c r="B117" s="7" t="inlineStr">
        <is>
          <t>Functional (LLR)</t>
        </is>
      </c>
      <c r="C117" s="7" t="inlineStr">
        <is>
          <t>HLR-9</t>
        </is>
      </c>
      <c r="D117" s="8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E117" s="8" t="inlineStr">
        <is>
          <t>Built &amp; tested</t>
        </is>
      </c>
      <c r="F117" s="8" t="inlineStr">
        <is>
          <t>Must</t>
        </is>
      </c>
      <c r="G117" s="8" t="inlineStr">
        <is>
          <t>Mansi</t>
        </is>
      </c>
      <c r="H117" s="8" t="inlineStr"/>
      <c r="I117" s="8" t="inlineStr"/>
      <c r="J117" s="7" t="inlineStr">
        <is>
          <t>LLRD › 3. Detailed functional requirements</t>
        </is>
      </c>
    </row>
    <row r="118">
      <c r="A118" s="7" t="inlineStr">
        <is>
          <t>LLR-8.8</t>
        </is>
      </c>
      <c r="B118" s="7" t="inlineStr">
        <is>
          <t>Functional (LLR)</t>
        </is>
      </c>
      <c r="C118" s="7" t="inlineStr">
        <is>
          <t>HLR-9</t>
        </is>
      </c>
      <c r="D118" s="8" t="inlineStr">
        <is>
          <t>Task detail's rewards lists every reward the task counts for, with how (tagged = linked, or scope for older all-tasks-in-an-area rewards)</t>
        </is>
      </c>
      <c r="E118" s="8" t="inlineStr">
        <is>
          <t>Built &amp; tested</t>
        </is>
      </c>
      <c r="F118" s="8" t="inlineStr">
        <is>
          <t>Must</t>
        </is>
      </c>
      <c r="G118" s="8" t="inlineStr">
        <is>
          <t>Mansi</t>
        </is>
      </c>
      <c r="H118" s="8" t="inlineStr"/>
      <c r="I118" s="8" t="inlineStr"/>
      <c r="J118" s="7" t="inlineStr">
        <is>
          <t>LLRD › 3. Detailed functional requirements</t>
        </is>
      </c>
    </row>
    <row r="119">
      <c r="A119" s="7" t="inlineStr">
        <is>
          <t>LLR-8.9</t>
        </is>
      </c>
      <c r="B119" s="7" t="inlineStr">
        <is>
          <t>Functional (LLR)</t>
        </is>
      </c>
      <c r="C119" s="7" t="inlineStr">
        <is>
          <t>HLR-8</t>
        </is>
      </c>
      <c r="D119" s="8" t="inlineStr">
        <is>
          <t>Schema changes are applied by versioned migrations on startup, never by dropping and recreating tables; a backup of the database file is written before each upgrade (Q14)</t>
        </is>
      </c>
      <c r="E119" s="8" t="inlineStr">
        <is>
          <t>Built &amp; tested</t>
        </is>
      </c>
      <c r="F119" s="8" t="inlineStr">
        <is>
          <t>Must</t>
        </is>
      </c>
      <c r="G119" s="8" t="inlineStr">
        <is>
          <t>Mansi</t>
        </is>
      </c>
      <c r="H119" s="8" t="inlineStr"/>
      <c r="I119" s="8" t="inlineStr"/>
      <c r="J119" s="7" t="inlineStr">
        <is>
          <t>LLRD › 3. Detailed functional requirements</t>
        </is>
      </c>
    </row>
    <row r="120">
      <c r="A120" s="7" t="inlineStr">
        <is>
          <t>LLR-8.10</t>
        </is>
      </c>
      <c r="B120" s="7" t="inlineStr">
        <is>
          <t>Functional (LLR)</t>
        </is>
      </c>
      <c r="C120" s="7" t="inlineStr">
        <is>
          <t>HLR-1</t>
        </is>
      </c>
      <c r="D120" s="8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E120" s="8" t="inlineStr">
        <is>
          <t>Built &amp; tested</t>
        </is>
      </c>
      <c r="F120" s="8" t="inlineStr">
        <is>
          <t>Must</t>
        </is>
      </c>
      <c r="G120" s="8" t="inlineStr">
        <is>
          <t>Mansi</t>
        </is>
      </c>
      <c r="H120" s="8" t="inlineStr"/>
      <c r="I120" s="8" t="inlineStr"/>
      <c r="J120" s="7" t="inlineStr">
        <is>
          <t>LLRD › 3. Detailed functional requirements</t>
        </is>
      </c>
    </row>
    <row r="121">
      <c r="A121" s="7" t="inlineStr">
        <is>
          <t>LLR-8.11</t>
        </is>
      </c>
      <c r="B121" s="7" t="inlineStr">
        <is>
          <t>Functional (LLR)</t>
        </is>
      </c>
      <c r="C121" s="7" t="inlineStr">
        <is>
          <t>HLR-10</t>
        </is>
      </c>
      <c r="D121" s="8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E121" s="8" t="inlineStr">
        <is>
          <t>Built &amp; tested</t>
        </is>
      </c>
      <c r="F121" s="8" t="inlineStr">
        <is>
          <t>Must</t>
        </is>
      </c>
      <c r="G121" s="8" t="inlineStr">
        <is>
          <t>Mansi</t>
        </is>
      </c>
      <c r="H121" s="8" t="inlineStr"/>
      <c r="I121" s="8" t="inlineStr"/>
      <c r="J121" s="7" t="inlineStr">
        <is>
          <t>LLRD › 3. Detailed functional requirements</t>
        </is>
      </c>
    </row>
    <row r="122">
      <c r="A122" s="7" t="inlineStr">
        <is>
          <t>LLR-8.12</t>
        </is>
      </c>
      <c r="B122" s="7" t="inlineStr">
        <is>
          <t>Functional (LLR)</t>
        </is>
      </c>
      <c r="C122" s="7" t="inlineStr">
        <is>
          <t>HLR-11</t>
        </is>
      </c>
      <c r="D122" s="8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E122" s="8" t="inlineStr">
        <is>
          <t>Built &amp; tested</t>
        </is>
      </c>
      <c r="F122" s="8" t="inlineStr">
        <is>
          <t>Must</t>
        </is>
      </c>
      <c r="G122" s="8" t="inlineStr">
        <is>
          <t>Mansi</t>
        </is>
      </c>
      <c r="H122" s="8" t="inlineStr"/>
      <c r="I122" s="8" t="inlineStr"/>
      <c r="J122" s="7" t="inlineStr">
        <is>
          <t>LLRD › 3. Detailed functional requirements</t>
        </is>
      </c>
    </row>
    <row r="123">
      <c r="A123" s="7" t="inlineStr">
        <is>
          <t>LLR-8.13</t>
        </is>
      </c>
      <c r="B123" s="7" t="inlineStr">
        <is>
          <t>Functional (LLR)</t>
        </is>
      </c>
      <c r="C123" s="7" t="inlineStr">
        <is>
          <t>HLR-12</t>
        </is>
      </c>
      <c r="D123" s="8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E123" s="8" t="inlineStr">
        <is>
          <t>Built &amp; tested</t>
        </is>
      </c>
      <c r="F123" s="8" t="inlineStr">
        <is>
          <t>Must</t>
        </is>
      </c>
      <c r="G123" s="8" t="inlineStr">
        <is>
          <t>Mansi</t>
        </is>
      </c>
      <c r="H123" s="8" t="inlineStr"/>
      <c r="I123" s="8" t="inlineStr"/>
      <c r="J123" s="7" t="inlineStr">
        <is>
          <t>LLRD › 3. Detailed functional requirements</t>
        </is>
      </c>
    </row>
    <row r="124">
      <c r="A124" s="7" t="inlineStr">
        <is>
          <t>LLR-10.1</t>
        </is>
      </c>
      <c r="B124" s="7" t="inlineStr">
        <is>
          <t>Functional (LLR)</t>
        </is>
      </c>
      <c r="C124" s="7" t="inlineStr">
        <is>
          <t>HLR-10</t>
        </is>
      </c>
      <c r="D124" s="8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E124" s="8" t="inlineStr">
        <is>
          <t>Built &amp; tested</t>
        </is>
      </c>
      <c r="F124" s="8" t="inlineStr">
        <is>
          <t>Must</t>
        </is>
      </c>
      <c r="G124" s="8" t="inlineStr">
        <is>
          <t>Mansi</t>
        </is>
      </c>
      <c r="H124" s="8" t="inlineStr"/>
      <c r="I124" s="8" t="inlineStr"/>
      <c r="J124" s="7" t="inlineStr">
        <is>
          <t>LLRD › 3. Detailed functional requirements</t>
        </is>
      </c>
    </row>
    <row r="125">
      <c r="A125" s="7" t="inlineStr">
        <is>
          <t>LLR-10.2</t>
        </is>
      </c>
      <c r="B125" s="7" t="inlineStr">
        <is>
          <t>Functional (LLR)</t>
        </is>
      </c>
      <c r="C125" s="7" t="inlineStr">
        <is>
          <t>HLR-10</t>
        </is>
      </c>
      <c r="D125" s="8" t="inlineStr">
        <is>
          <t>Topic is free text (1–60 characters), optional, and offers existing topics from the same tile or area as suggestions, so "Bosch Dishwasher" isn't typed three different ways</t>
        </is>
      </c>
      <c r="E125" s="8" t="inlineStr">
        <is>
          <t>Built &amp; tested</t>
        </is>
      </c>
      <c r="F125" s="8" t="inlineStr">
        <is>
          <t>Must</t>
        </is>
      </c>
      <c r="G125" s="8" t="inlineStr">
        <is>
          <t>Mansi</t>
        </is>
      </c>
      <c r="H125" s="8" t="inlineStr"/>
      <c r="I125" s="8" t="inlineStr"/>
      <c r="J125" s="7" t="inlineStr">
        <is>
          <t>LLRD › 3. Detailed functional requirements</t>
        </is>
      </c>
    </row>
    <row r="126">
      <c r="A126" s="7" t="inlineStr">
        <is>
          <t>LLR-10.3</t>
        </is>
      </c>
      <c r="B126" s="7" t="inlineStr">
        <is>
          <t>Functional (LLR)</t>
        </is>
      </c>
      <c r="C126" s="7" t="inlineStr">
        <is>
          <t>HLR-10</t>
        </is>
      </c>
      <c r="D126" s="8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E126" s="8" t="inlineStr">
        <is>
          <t>Built &amp; tested</t>
        </is>
      </c>
      <c r="F126" s="8" t="inlineStr">
        <is>
          <t>Must</t>
        </is>
      </c>
      <c r="G126" s="8" t="inlineStr">
        <is>
          <t>Mansi</t>
        </is>
      </c>
      <c r="H126" s="8" t="inlineStr"/>
      <c r="I126" s="8" t="inlineStr"/>
      <c r="J126" s="7" t="inlineStr">
        <is>
          <t>LLRD › 3. Detailed functional requirements</t>
        </is>
      </c>
    </row>
    <row r="127">
      <c r="A127" s="7" t="inlineStr">
        <is>
          <t>LLR-10.4</t>
        </is>
      </c>
      <c r="B127" s="7" t="inlineStr">
        <is>
          <t>Functional (LLR)</t>
        </is>
      </c>
      <c r="C127" s="7" t="inlineStr">
        <is>
          <t>HLR-10</t>
        </is>
      </c>
      <c r="D127" s="8" t="inlineStr">
        <is>
          <t>Phone numbers are stored as entered and shown with actions: Call (tel:), WhatsApp (wa.me, for numbers marked WhatsApp) and Copy. Email gets Email (mailto:). All actions are one tap on a phone</t>
        </is>
      </c>
      <c r="E127" s="8" t="inlineStr">
        <is>
          <t>Built &amp; tested</t>
        </is>
      </c>
      <c r="F127" s="8" t="inlineStr">
        <is>
          <t>Must</t>
        </is>
      </c>
      <c r="G127" s="8" t="inlineStr">
        <is>
          <t>Mansi</t>
        </is>
      </c>
      <c r="H127" s="8" t="inlineStr"/>
      <c r="I127" s="8" t="inlineStr"/>
      <c r="J127" s="7" t="inlineStr">
        <is>
          <t>LLRD › 3. Detailed functional requirements</t>
        </is>
      </c>
    </row>
    <row r="128">
      <c r="A128" s="7" t="inlineStr">
        <is>
          <t>LLR-10.5</t>
        </is>
      </c>
      <c r="B128" s="7" t="inlineStr">
        <is>
          <t>Functional (LLR)</t>
        </is>
      </c>
      <c r="C128" s="7" t="inlineStr">
        <is>
          <t>HLR-10</t>
        </is>
      </c>
      <c r="D128" s="8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E128" s="8" t="inlineStr">
        <is>
          <t>Built &amp; tested</t>
        </is>
      </c>
      <c r="F128" s="8" t="inlineStr">
        <is>
          <t>Must</t>
        </is>
      </c>
      <c r="G128" s="8" t="inlineStr">
        <is>
          <t>Mansi</t>
        </is>
      </c>
      <c r="H128" s="8" t="inlineStr"/>
      <c r="I128" s="8" t="inlineStr"/>
      <c r="J128" s="7" t="inlineStr">
        <is>
          <t>LLRD › 3. Detailed functional requirements</t>
        </is>
      </c>
    </row>
    <row r="129">
      <c r="A129" s="7" t="inlineStr">
        <is>
          <t>LLR-10.6</t>
        </is>
      </c>
      <c r="B129" s="7" t="inlineStr">
        <is>
          <t>Functional (LLR)</t>
        </is>
      </c>
      <c r="C129" s="7" t="inlineStr">
        <is>
          <t>HLR-10</t>
        </is>
      </c>
      <c r="D129" s="8" t="inlineStr">
        <is>
          <t>Note: text 1–5000 characters, optional title and topic; shows created and last-edited time; newest first</t>
        </is>
      </c>
      <c r="E129" s="8" t="inlineStr">
        <is>
          <t>Built &amp; tested</t>
        </is>
      </c>
      <c r="F129" s="8" t="inlineStr">
        <is>
          <t>Must</t>
        </is>
      </c>
      <c r="G129" s="8" t="inlineStr">
        <is>
          <t>Mansi</t>
        </is>
      </c>
      <c r="H129" s="8" t="inlineStr"/>
      <c r="I129" s="8" t="inlineStr"/>
      <c r="J129" s="7" t="inlineStr">
        <is>
          <t>LLRD › 3. Detailed functional requirements</t>
        </is>
      </c>
    </row>
    <row r="130">
      <c r="A130" s="7" t="inlineStr">
        <is>
          <t>LLR-10.7</t>
        </is>
      </c>
      <c r="B130" s="7" t="inlineStr">
        <is>
          <t>Functional (LLR)</t>
        </is>
      </c>
      <c r="C130" s="7" t="inlineStr">
        <is>
          <t>HLR-10</t>
        </is>
      </c>
      <c r="D130" s="8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E130" s="8" t="inlineStr">
        <is>
          <t>Built &amp; tested</t>
        </is>
      </c>
      <c r="F130" s="8" t="inlineStr">
        <is>
          <t>Must</t>
        </is>
      </c>
      <c r="G130" s="8" t="inlineStr">
        <is>
          <t>Mansi</t>
        </is>
      </c>
      <c r="H130" s="8" t="inlineStr"/>
      <c r="I130" s="8" t="inlineStr"/>
      <c r="J130" s="7" t="inlineStr">
        <is>
          <t>LLRD › 3. Detailed functional requirements</t>
        </is>
      </c>
    </row>
    <row r="131">
      <c r="A131" s="7" t="inlineStr">
        <is>
          <t>LLR-10.8</t>
        </is>
      </c>
      <c r="B131" s="7" t="inlineStr">
        <is>
          <t>Functional (LLR)</t>
        </is>
      </c>
      <c r="C131" s="7" t="inlineStr">
        <is>
          <t>HLR-10</t>
        </is>
      </c>
      <c r="D131" s="8" t="inlineStr">
        <is>
          <t>Notes, contacts and files can be edited and deleted (with confirmation), and moved between topics by editing the topic</t>
        </is>
      </c>
      <c r="E131" s="8" t="inlineStr">
        <is>
          <t>Built &amp; tested</t>
        </is>
      </c>
      <c r="F131" s="8" t="inlineStr">
        <is>
          <t>Must</t>
        </is>
      </c>
      <c r="G131" s="8" t="inlineStr">
        <is>
          <t>Mansi</t>
        </is>
      </c>
      <c r="H131" s="8" t="inlineStr"/>
      <c r="I131" s="8" t="inlineStr"/>
      <c r="J131" s="7" t="inlineStr">
        <is>
          <t>LLRD › 3. Detailed functional requirements</t>
        </is>
      </c>
    </row>
    <row r="132">
      <c r="A132" s="7" t="inlineStr">
        <is>
          <t>LLR-10.9</t>
        </is>
      </c>
      <c r="B132" s="7" t="inlineStr">
        <is>
          <t>Functional (LLR)</t>
        </is>
      </c>
      <c r="C132" s="7" t="inlineStr">
        <is>
          <t>HLR-10</t>
        </is>
      </c>
      <c r="D132" s="8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E132" s="8" t="inlineStr">
        <is>
          <t>Built &amp; tested</t>
        </is>
      </c>
      <c r="F132" s="8" t="inlineStr">
        <is>
          <t>Must</t>
        </is>
      </c>
      <c r="G132" s="8" t="inlineStr">
        <is>
          <t>Mansi</t>
        </is>
      </c>
      <c r="H132" s="8" t="inlineStr"/>
      <c r="I132" s="8" t="inlineStr"/>
      <c r="J132" s="7" t="inlineStr">
        <is>
          <t>LLRD › 3. Detailed functional requirements</t>
        </is>
      </c>
    </row>
    <row r="133">
      <c r="A133" s="7" t="inlineStr">
        <is>
          <t>LLR-10.10</t>
        </is>
      </c>
      <c r="B133" s="7" t="inlineStr">
        <is>
          <t>Functional (LLR)</t>
        </is>
      </c>
      <c r="C133" s="7" t="inlineStr">
        <is>
          <t>HLR-10</t>
        </is>
      </c>
      <c r="D133" s="8" t="inlineStr">
        <is>
          <t>Deleting an area or tile deletes its notes, contacts and files, and the confirmation counts them (LLR-1.12). Stored files are removed only after the database change commits</t>
        </is>
      </c>
      <c r="E133" s="8" t="inlineStr">
        <is>
          <t>Built &amp; tested</t>
        </is>
      </c>
      <c r="F133" s="8" t="inlineStr">
        <is>
          <t>Must</t>
        </is>
      </c>
      <c r="G133" s="8" t="inlineStr">
        <is>
          <t>Mansi</t>
        </is>
      </c>
      <c r="H133" s="8" t="inlineStr"/>
      <c r="I133" s="8" t="inlineStr"/>
      <c r="J133" s="7" t="inlineStr">
        <is>
          <t>LLRD › 3. Detailed functional requirements</t>
        </is>
      </c>
    </row>
    <row r="134">
      <c r="A134" s="7" t="inlineStr">
        <is>
          <t>LLR-10.11</t>
        </is>
      </c>
      <c r="B134" s="7" t="inlineStr">
        <is>
          <t>Functional (LLR)</t>
        </is>
      </c>
      <c r="C134" s="7" t="inlineStr">
        <is>
          <t>HLR-10</t>
        </is>
      </c>
      <c r="D134" s="8" t="inlineStr">
        <is>
          <t>Visibility follows the rewards setting (Q17): readable in the read-only view when public reads are on; creating, editing, deleting and uploading need the owner passcode</t>
        </is>
      </c>
      <c r="E134" s="8" t="inlineStr">
        <is>
          <t>Built &amp; tested</t>
        </is>
      </c>
      <c r="F134" s="8" t="inlineStr">
        <is>
          <t>Must</t>
        </is>
      </c>
      <c r="G134" s="8" t="inlineStr">
        <is>
          <t>Mansi</t>
        </is>
      </c>
      <c r="H134" s="8" t="inlineStr"/>
      <c r="I134" s="8" t="inlineStr"/>
      <c r="J134" s="7" t="inlineStr">
        <is>
          <t>LLRD › 3. Detailed functional requirements</t>
        </is>
      </c>
    </row>
    <row r="135">
      <c r="A135" s="7" t="inlineStr">
        <is>
          <t>LLR-10.12</t>
        </is>
      </c>
      <c r="B135" s="7" t="inlineStr">
        <is>
          <t>Functional (LLR)</t>
        </is>
      </c>
      <c r="C135" s="7" t="inlineStr">
        <is>
          <t>HLR-10</t>
        </is>
      </c>
      <c r="D135" s="8" t="inlineStr">
        <is>
          <t>The JSON export (app.backup) includes notes and contacts, and lists files by title and stored name; the server backup covers the files folder as well as the database</t>
        </is>
      </c>
      <c r="E135" s="8" t="inlineStr">
        <is>
          <t>Built (manual test)</t>
        </is>
      </c>
      <c r="F135" s="8" t="inlineStr">
        <is>
          <t>Must</t>
        </is>
      </c>
      <c r="G135" s="8" t="inlineStr">
        <is>
          <t>Mansi</t>
        </is>
      </c>
      <c r="H135" s="8" t="inlineStr"/>
      <c r="I135" s="8" t="inlineStr"/>
      <c r="J135" s="7" t="inlineStr">
        <is>
          <t>LLRD › 3. Detailed functional requirements</t>
        </is>
      </c>
    </row>
    <row r="136">
      <c r="A136" s="7" t="inlineStr">
        <is>
          <t>LLR-11.1</t>
        </is>
      </c>
      <c r="B136" s="7" t="inlineStr">
        <is>
          <t>Functional (LLR)</t>
        </is>
      </c>
      <c r="C136" s="7" t="inlineStr">
        <is>
          <t>HLR-11</t>
        </is>
      </c>
      <c r="D136" s="8" t="inlineStr">
        <is>
          <t>Milestone: yes/no (default no), set when creating or editing a task</t>
        </is>
      </c>
      <c r="E136" s="8" t="inlineStr">
        <is>
          <t>Built &amp; tested</t>
        </is>
      </c>
      <c r="F136" s="8" t="inlineStr">
        <is>
          <t>Must</t>
        </is>
      </c>
      <c r="G136" s="8" t="inlineStr">
        <is>
          <t>Mansi</t>
        </is>
      </c>
      <c r="H136" s="8" t="inlineStr"/>
      <c r="I136" s="8" t="inlineStr"/>
      <c r="J136" s="7" t="inlineStr">
        <is>
          <t>LLRD › 3. Detailed functional requirements</t>
        </is>
      </c>
    </row>
    <row r="137">
      <c r="A137" s="7" t="inlineStr">
        <is>
          <t>LLR-11.2</t>
        </is>
      </c>
      <c r="B137" s="7" t="inlineStr">
        <is>
          <t>Functional (LLR)</t>
        </is>
      </c>
      <c r="C137" s="7" t="inlineStr">
        <is>
          <t>HLR-11</t>
        </is>
      </c>
      <c r="D137" s="8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E137" s="8" t="inlineStr">
        <is>
          <t>Built &amp; tested</t>
        </is>
      </c>
      <c r="F137" s="8" t="inlineStr">
        <is>
          <t>Must</t>
        </is>
      </c>
      <c r="G137" s="8" t="inlineStr">
        <is>
          <t>Mansi</t>
        </is>
      </c>
      <c r="H137" s="8" t="inlineStr"/>
      <c r="I137" s="8" t="inlineStr"/>
      <c r="J137" s="7" t="inlineStr">
        <is>
          <t>LLRD › 3. Detailed functional requirements</t>
        </is>
      </c>
    </row>
    <row r="138">
      <c r="A138" s="7" t="inlineStr">
        <is>
          <t>LLR-11.3</t>
        </is>
      </c>
      <c r="B138" s="7" t="inlineStr">
        <is>
          <t>Functional (LLR)</t>
        </is>
      </c>
      <c r="C138" s="7" t="inlineStr">
        <is>
          <t>HLR-11</t>
        </is>
      </c>
      <c r="D138" s="8" t="inlineStr">
        <is>
          <t>Completing an announced milestone shows the milestone celebration: a larger, longer celebration than a normal completion (respects reduced motion), with its own share prompt</t>
        </is>
      </c>
      <c r="E138" s="8" t="inlineStr">
        <is>
          <t>Built &amp; tested</t>
        </is>
      </c>
      <c r="F138" s="8" t="inlineStr">
        <is>
          <t>Must</t>
        </is>
      </c>
      <c r="G138" s="8" t="inlineStr">
        <is>
          <t>Mansi</t>
        </is>
      </c>
      <c r="H138" s="8" t="inlineStr"/>
      <c r="I138" s="8" t="inlineStr"/>
      <c r="J138" s="7" t="inlineStr">
        <is>
          <t>LLRD › 3. Detailed functional requirements</t>
        </is>
      </c>
    </row>
    <row r="139">
      <c r="A139" s="7" t="inlineStr">
        <is>
          <t>LLR-11.4</t>
        </is>
      </c>
      <c r="B139" s="7" t="inlineStr">
        <is>
          <t>Functional (LLR)</t>
        </is>
      </c>
      <c r="C139" s="7" t="inlineStr">
        <is>
          <t>HLR-11</t>
        </is>
      </c>
      <c r="D139" s="8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E139" s="8" t="inlineStr">
        <is>
          <t>Built &amp; tested</t>
        </is>
      </c>
      <c r="F139" s="8" t="inlineStr">
        <is>
          <t>Must</t>
        </is>
      </c>
      <c r="G139" s="8" t="inlineStr">
        <is>
          <t>Mansi</t>
        </is>
      </c>
      <c r="H139" s="8" t="inlineStr"/>
      <c r="I139" s="8" t="inlineStr"/>
      <c r="J139" s="7" t="inlineStr">
        <is>
          <t>LLRD › 3. Detailed functional requirements</t>
        </is>
      </c>
    </row>
    <row r="140">
      <c r="A140" s="7" t="inlineStr">
        <is>
          <t>LLR-11.5</t>
        </is>
      </c>
      <c r="B140" s="7" t="inlineStr">
        <is>
          <t>Functional (LLR)</t>
        </is>
      </c>
      <c r="C140" s="7" t="inlineStr">
        <is>
          <t>HLR-11</t>
        </is>
      </c>
      <c r="D140" s="8" t="inlineStr">
        <is>
          <t>Announce or keep silent: each task is *Announced* (default) or *Silent*, set when creating or editing it (Q20, Q22)</t>
        </is>
      </c>
      <c r="E140" s="8" t="inlineStr">
        <is>
          <t>Built &amp; tested</t>
        </is>
      </c>
      <c r="F140" s="8" t="inlineStr">
        <is>
          <t>Must</t>
        </is>
      </c>
      <c r="G140" s="8" t="inlineStr">
        <is>
          <t>Mansi</t>
        </is>
      </c>
      <c r="H140" s="8" t="inlineStr"/>
      <c r="I140" s="8" t="inlineStr"/>
      <c r="J140" s="7" t="inlineStr">
        <is>
          <t>LLRD › 3. Detailed functional requirements</t>
        </is>
      </c>
    </row>
    <row r="141">
      <c r="A141" s="7" t="inlineStr">
        <is>
          <t>LLR-11.6</t>
        </is>
      </c>
      <c r="B141" s="7" t="inlineStr">
        <is>
          <t>Functional (LLR)</t>
        </is>
      </c>
      <c r="C141" s="7" t="inlineStr">
        <is>
          <t>HLR-11</t>
        </is>
      </c>
      <c r="D141" s="8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E141" s="8" t="inlineStr">
        <is>
          <t>Built (manual test)</t>
        </is>
      </c>
      <c r="F141" s="8" t="inlineStr">
        <is>
          <t>Must</t>
        </is>
      </c>
      <c r="G141" s="8" t="inlineStr">
        <is>
          <t>Mansi</t>
        </is>
      </c>
      <c r="H141" s="8" t="inlineStr"/>
      <c r="I141" s="8" t="inlineStr"/>
      <c r="J141" s="7" t="inlineStr">
        <is>
          <t>LLRD › 3. Detailed functional requirements</t>
        </is>
      </c>
    </row>
    <row r="142">
      <c r="A142" s="7" t="inlineStr">
        <is>
          <t>LLR-11.7</t>
        </is>
      </c>
      <c r="B142" s="7" t="inlineStr">
        <is>
          <t>Functional (LLR)</t>
        </is>
      </c>
      <c r="C142" s="7" t="inlineStr">
        <is>
          <t>HLR-11</t>
        </is>
      </c>
      <c r="D142" s="8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E142" s="8" t="inlineStr">
        <is>
          <t>Built &amp; tested</t>
        </is>
      </c>
      <c r="F142" s="8" t="inlineStr">
        <is>
          <t>Must</t>
        </is>
      </c>
      <c r="G142" s="8" t="inlineStr">
        <is>
          <t>Mansi</t>
        </is>
      </c>
      <c r="H142" s="8" t="inlineStr"/>
      <c r="I142" s="8" t="inlineStr"/>
      <c r="J142" s="7" t="inlineStr">
        <is>
          <t>LLRD › 3. Detailed functional requirements</t>
        </is>
      </c>
    </row>
    <row r="143">
      <c r="A143" s="7" t="inlineStr">
        <is>
          <t>LLR-11.8</t>
        </is>
      </c>
      <c r="B143" s="7" t="inlineStr">
        <is>
          <t>Functional (LLR)</t>
        </is>
      </c>
      <c r="C143" s="7" t="inlineStr">
        <is>
          <t>HLR-11</t>
        </is>
      </c>
      <c r="D143" s="8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E143" s="8" t="inlineStr">
        <is>
          <t>Built &amp; tested</t>
        </is>
      </c>
      <c r="F143" s="8" t="inlineStr">
        <is>
          <t>Must</t>
        </is>
      </c>
      <c r="G143" s="8" t="inlineStr">
        <is>
          <t>Mansi</t>
        </is>
      </c>
      <c r="H143" s="8" t="inlineStr"/>
      <c r="I143" s="8" t="inlineStr"/>
      <c r="J143" s="7" t="inlineStr">
        <is>
          <t>LLRD › 3. Detailed functional requirements</t>
        </is>
      </c>
    </row>
    <row r="144">
      <c r="A144" s="7" t="inlineStr">
        <is>
          <t>LLR-11.9</t>
        </is>
      </c>
      <c r="B144" s="7" t="inlineStr">
        <is>
          <t>Functional (LLR)</t>
        </is>
      </c>
      <c r="C144" s="7" t="inlineStr">
        <is>
          <t>HLR-11</t>
        </is>
      </c>
      <c r="D144" s="8" t="inlineStr">
        <is>
          <t>Days to complete (optional): a whole number from 1 to 3650, shown as "Planned: N days". Task detail also shows "Day X of N", counted from the task's creation date</t>
        </is>
      </c>
      <c r="E144" s="8" t="inlineStr">
        <is>
          <t>Built &amp; tested</t>
        </is>
      </c>
      <c r="F144" s="8" t="inlineStr">
        <is>
          <t>Must</t>
        </is>
      </c>
      <c r="G144" s="8" t="inlineStr">
        <is>
          <t>Mansi</t>
        </is>
      </c>
      <c r="H144" s="8" t="inlineStr"/>
      <c r="I144" s="8" t="inlineStr"/>
      <c r="J144" s="7" t="inlineStr">
        <is>
          <t>LLRD › 3. Detailed functional requirements</t>
        </is>
      </c>
    </row>
    <row r="145">
      <c r="A145" s="7" t="inlineStr">
        <is>
          <t>LLR-11.10</t>
        </is>
      </c>
      <c r="B145" s="7" t="inlineStr">
        <is>
          <t>Functional (LLR)</t>
        </is>
      </c>
      <c r="C145" s="7" t="inlineStr">
        <is>
          <t>HLR-11</t>
        </is>
      </c>
      <c r="D145" s="8" t="inlineStr">
        <is>
          <t>Due date and days to complete are independent: changing one never changes the other, and they may disagree (Q21, BR-R26)</t>
        </is>
      </c>
      <c r="E145" s="8" t="inlineStr">
        <is>
          <t>Built &amp; tested</t>
        </is>
      </c>
      <c r="F145" s="8" t="inlineStr">
        <is>
          <t>Must</t>
        </is>
      </c>
      <c r="G145" s="8" t="inlineStr">
        <is>
          <t>Mansi</t>
        </is>
      </c>
      <c r="H145" s="8" t="inlineStr"/>
      <c r="I145" s="8" t="inlineStr"/>
      <c r="J145" s="7" t="inlineStr">
        <is>
          <t>LLRD › 3. Detailed functional requirements</t>
        </is>
      </c>
    </row>
    <row r="146">
      <c r="A146" s="7" t="inlineStr">
        <is>
          <t>LLR-11.11</t>
        </is>
      </c>
      <c r="B146" s="7" t="inlineStr">
        <is>
          <t>Functional (LLR)</t>
        </is>
      </c>
      <c r="C146" s="7" t="inlineStr">
        <is>
          <t>HLR-11</t>
        </is>
      </c>
      <c r="D146" s="8" t="inlineStr">
        <is>
          <t>All four attributes can be edited on task detail at any time. A due date in the past is allowed (the task is simply overdue)</t>
        </is>
      </c>
      <c r="E146" s="8" t="inlineStr">
        <is>
          <t>Built &amp; tested</t>
        </is>
      </c>
      <c r="F146" s="8" t="inlineStr">
        <is>
          <t>Must</t>
        </is>
      </c>
      <c r="G146" s="8" t="inlineStr">
        <is>
          <t>Mansi</t>
        </is>
      </c>
      <c r="H146" s="8" t="inlineStr"/>
      <c r="I146" s="8" t="inlineStr"/>
      <c r="J146" s="7" t="inlineStr">
        <is>
          <t>LLRD › 3. Detailed functional requirements</t>
        </is>
      </c>
    </row>
    <row r="147">
      <c r="A147" s="7" t="inlineStr">
        <is>
          <t>LLR-11.12</t>
        </is>
      </c>
      <c r="B147" s="7" t="inlineStr">
        <is>
          <t>Functional (LLR)</t>
        </is>
      </c>
      <c r="C147" s="7" t="inlineStr">
        <is>
          <t>HLR-11</t>
        </is>
      </c>
      <c r="D147" s="8" t="inlineStr">
        <is>
          <t>Existing tasks are migrated without data loss: milestone = no, visibility = announced, no due date, no days to complete. Nothing else changes</t>
        </is>
      </c>
      <c r="E147" s="8" t="inlineStr">
        <is>
          <t>Built &amp; tested</t>
        </is>
      </c>
      <c r="F147" s="8" t="inlineStr">
        <is>
          <t>Must</t>
        </is>
      </c>
      <c r="G147" s="8" t="inlineStr">
        <is>
          <t>Mansi</t>
        </is>
      </c>
      <c r="H147" s="8" t="inlineStr"/>
      <c r="I147" s="8" t="inlineStr"/>
      <c r="J147" s="7" t="inlineStr">
        <is>
          <t>LLRD › 3. Detailed functional requirements</t>
        </is>
      </c>
    </row>
    <row r="148">
      <c r="A148" s="7" t="inlineStr">
        <is>
          <t>LLR-11.13</t>
        </is>
      </c>
      <c r="B148" s="7" t="inlineStr">
        <is>
          <t>Functional (LLR)</t>
        </is>
      </c>
      <c r="C148" s="7" t="inlineStr">
        <is>
          <t>HLR-11</t>
        </is>
      </c>
      <c r="D148" s="8" t="inlineStr">
        <is>
          <t>The dashboard adds an Overdue KPI and the *Milestones* table (LLR-11.2); the owner-only dashboard includes silent tasks, marked 🔕</t>
        </is>
      </c>
      <c r="E148" s="8" t="inlineStr">
        <is>
          <t>Built &amp; tested</t>
        </is>
      </c>
      <c r="F148" s="8" t="inlineStr">
        <is>
          <t>Must</t>
        </is>
      </c>
      <c r="G148" s="8" t="inlineStr">
        <is>
          <t>Mansi</t>
        </is>
      </c>
      <c r="H148" s="8" t="inlineStr"/>
      <c r="I148" s="8" t="inlineStr"/>
      <c r="J148" s="7" t="inlineStr">
        <is>
          <t>LLRD › 3. Detailed functional requirements</t>
        </is>
      </c>
    </row>
    <row r="149">
      <c r="A149" s="7" t="inlineStr">
        <is>
          <t>LLR-12.1</t>
        </is>
      </c>
      <c r="B149" s="7" t="inlineStr">
        <is>
          <t>Functional (LLR)</t>
        </is>
      </c>
      <c r="C149" s="7" t="inlineStr">
        <is>
          <t>HLR-12</t>
        </is>
      </c>
      <c r="D149" s="8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E149" s="8" t="inlineStr">
        <is>
          <t>Built &amp; tested</t>
        </is>
      </c>
      <c r="F149" s="8" t="inlineStr">
        <is>
          <t>Must</t>
        </is>
      </c>
      <c r="G149" s="8" t="inlineStr">
        <is>
          <t>Mansi</t>
        </is>
      </c>
      <c r="H149" s="8" t="inlineStr"/>
      <c r="I149" s="8" t="inlineStr"/>
      <c r="J149" s="7" t="inlineStr">
        <is>
          <t>LLRD › 3. Detailed functional requirements</t>
        </is>
      </c>
    </row>
    <row r="150">
      <c r="A150" s="7" t="inlineStr">
        <is>
          <t>LLR-12.2</t>
        </is>
      </c>
      <c r="B150" s="7" t="inlineStr">
        <is>
          <t>Functional (LLR)</t>
        </is>
      </c>
      <c r="C150" s="7" t="inlineStr">
        <is>
          <t>HLR-12</t>
        </is>
      </c>
      <c r="D150" s="8" t="inlineStr">
        <is>
          <t>For whom on every reward and idea: free text (1–40) with suggestions from earlier entries; default "Me" (Q25)</t>
        </is>
      </c>
      <c r="E150" s="8" t="inlineStr">
        <is>
          <t>Built &amp; tested</t>
        </is>
      </c>
      <c r="F150" s="8" t="inlineStr">
        <is>
          <t>Must</t>
        </is>
      </c>
      <c r="G150" s="8" t="inlineStr">
        <is>
          <t>Mansi</t>
        </is>
      </c>
      <c r="H150" s="8" t="inlineStr"/>
      <c r="I150" s="8" t="inlineStr"/>
      <c r="J150" s="7" t="inlineStr">
        <is>
          <t>LLRD › 3. Detailed functional requirements</t>
        </is>
      </c>
    </row>
    <row r="151">
      <c r="A151" s="7" t="inlineStr">
        <is>
          <t>LLR-12.3</t>
        </is>
      </c>
      <c r="B151" s="7" t="inlineStr">
        <is>
          <t>Functional (LLR)</t>
        </is>
      </c>
      <c r="C151" s="7" t="inlineStr">
        <is>
          <t>HLR-12</t>
        </is>
      </c>
      <c r="D151" s="8" t="inlineStr">
        <is>
          <t>Ideas have status Idea: no rule, no progress and no tasks, and they never unlock or appear in progress counts (BR-R27)</t>
        </is>
      </c>
      <c r="E151" s="8" t="inlineStr">
        <is>
          <t>Built &amp; tested</t>
        </is>
      </c>
      <c r="F151" s="8" t="inlineStr">
        <is>
          <t>Must</t>
        </is>
      </c>
      <c r="G151" s="8" t="inlineStr">
        <is>
          <t>Mansi</t>
        </is>
      </c>
      <c r="H151" s="8" t="inlineStr"/>
      <c r="I151" s="8" t="inlineStr"/>
      <c r="J151" s="7" t="inlineStr">
        <is>
          <t>LLRD › 3. Detailed functional requirements</t>
        </is>
      </c>
    </row>
    <row r="152">
      <c r="A152" s="7" t="inlineStr">
        <is>
          <t>LLR-12.4</t>
        </is>
      </c>
      <c r="B152" s="7" t="inlineStr">
        <is>
          <t>Functional (LLR)</t>
        </is>
      </c>
      <c r="C152" s="7" t="inlineStr">
        <is>
          <t>HLR-12</t>
        </is>
      </c>
      <c r="D152" s="8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E152" s="8" t="inlineStr">
        <is>
          <t>Built &amp; tested</t>
        </is>
      </c>
      <c r="F152" s="8" t="inlineStr">
        <is>
          <t>Must</t>
        </is>
      </c>
      <c r="G152" s="8" t="inlineStr">
        <is>
          <t>Mansi</t>
        </is>
      </c>
      <c r="H152" s="8" t="inlineStr"/>
      <c r="I152" s="8" t="inlineStr"/>
      <c r="J152" s="7" t="inlineStr">
        <is>
          <t>LLRD › 3. Detailed functional requirements</t>
        </is>
      </c>
    </row>
    <row r="153">
      <c r="A153" s="7" t="inlineStr">
        <is>
          <t>LLR-12.5</t>
        </is>
      </c>
      <c r="B153" s="7" t="inlineStr">
        <is>
          <t>Functional (LLR)</t>
        </is>
      </c>
      <c r="C153" s="7" t="inlineStr">
        <is>
          <t>HLR-12</t>
        </is>
      </c>
      <c r="D153" s="8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E153" s="8" t="inlineStr">
        <is>
          <t>Built &amp; tested</t>
        </is>
      </c>
      <c r="F153" s="8" t="inlineStr">
        <is>
          <t>Must</t>
        </is>
      </c>
      <c r="G153" s="8" t="inlineStr">
        <is>
          <t>Mansi</t>
        </is>
      </c>
      <c r="H153" s="8" t="inlineStr"/>
      <c r="I153" s="8" t="inlineStr"/>
      <c r="J153" s="7" t="inlineStr">
        <is>
          <t>LLRD › 3. Detailed functional requirements</t>
        </is>
      </c>
    </row>
    <row r="154">
      <c r="A154" s="7" t="inlineStr">
        <is>
          <t>LLR-12.6</t>
        </is>
      </c>
      <c r="B154" s="7" t="inlineStr">
        <is>
          <t>Functional (LLR)</t>
        </is>
      </c>
      <c r="C154" s="7" t="inlineStr">
        <is>
          <t>HLR-12</t>
        </is>
      </c>
      <c r="D154" s="8" t="inlineStr">
        <is>
          <t>Close an idea as *Bought* (got it without a rule) or *Dropped* (no longer wanted). Closed ideas leave the Ideas list, stay under *Closed* with the date and outcome, and can be reopened (BR-R29)</t>
        </is>
      </c>
      <c r="E154" s="8" t="inlineStr">
        <is>
          <t>Built &amp; tested</t>
        </is>
      </c>
      <c r="F154" s="8" t="inlineStr">
        <is>
          <t>Must</t>
        </is>
      </c>
      <c r="G154" s="8" t="inlineStr">
        <is>
          <t>Mansi</t>
        </is>
      </c>
      <c r="H154" s="8" t="inlineStr"/>
      <c r="I154" s="8" t="inlineStr"/>
      <c r="J154" s="7" t="inlineStr">
        <is>
          <t>LLRD › 3. Detailed functional requirements</t>
        </is>
      </c>
    </row>
    <row r="155">
      <c r="A155" s="7" t="inlineStr">
        <is>
          <t>LLR-12.7</t>
        </is>
      </c>
      <c r="B155" s="7" t="inlineStr">
        <is>
          <t>Functional (LLR)</t>
        </is>
      </c>
      <c r="C155" s="7" t="inlineStr">
        <is>
          <t>HLR-12</t>
        </is>
      </c>
      <c r="D155" s="8" t="inlineStr">
        <is>
          <t>Ideas are Silent by default (hidden from the read-only view) and can be switched to *Announced*; ordinary rewards default to *Announced*. Visibility follows the silent rules of BR-R23 (Q24)</t>
        </is>
      </c>
      <c r="E155" s="8" t="inlineStr">
        <is>
          <t>Built (manual test)</t>
        </is>
      </c>
      <c r="F155" s="8" t="inlineStr">
        <is>
          <t>Must</t>
        </is>
      </c>
      <c r="G155" s="8" t="inlineStr">
        <is>
          <t>Mansi</t>
        </is>
      </c>
      <c r="H155" s="8" t="inlineStr"/>
      <c r="I155" s="8" t="inlineStr"/>
      <c r="J155" s="7" t="inlineStr">
        <is>
          <t>LLRD › 3. Detailed functional requirements</t>
        </is>
      </c>
    </row>
    <row r="156">
      <c r="A156" s="7" t="inlineStr">
        <is>
          <t>LLR-12.8</t>
        </is>
      </c>
      <c r="B156" s="7" t="inlineStr">
        <is>
          <t>Functional (LLR)</t>
        </is>
      </c>
      <c r="C156" s="7" t="inlineStr">
        <is>
          <t>HLR-12</t>
        </is>
      </c>
      <c r="D156" s="8" t="inlineStr">
        <is>
          <t>Ideas are included in search (LLR-10.9) by title, notes, for whom and where seen</t>
        </is>
      </c>
      <c r="E156" s="8" t="inlineStr">
        <is>
          <t>Built &amp; tested</t>
        </is>
      </c>
      <c r="F156" s="8" t="inlineStr">
        <is>
          <t>Must</t>
        </is>
      </c>
      <c r="G156" s="8" t="inlineStr">
        <is>
          <t>Mansi</t>
        </is>
      </c>
      <c r="H156" s="8" t="inlineStr"/>
      <c r="I156" s="8" t="inlineStr"/>
      <c r="J156" s="7" t="inlineStr">
        <is>
          <t>LLRD › 3. Detailed functional requirements</t>
        </is>
      </c>
    </row>
    <row r="157">
      <c r="A157" s="7" t="inlineStr">
        <is>
          <t>LLR-12.9</t>
        </is>
      </c>
      <c r="B157" s="7" t="inlineStr">
        <is>
          <t>Functional (LLR)</t>
        </is>
      </c>
      <c r="C157" s="7" t="inlineStr">
        <is>
          <t>HLR-12</t>
        </is>
      </c>
      <c r="D157" s="8" t="inlineStr">
        <is>
          <t>Existing rewards are migrated without data loss: for whom = "Me", visibility = announced; their status, rule, tasks and progress are unchanged</t>
        </is>
      </c>
      <c r="E157" s="8" t="inlineStr">
        <is>
          <t>Built &amp; tested</t>
        </is>
      </c>
      <c r="F157" s="8" t="inlineStr">
        <is>
          <t>Must</t>
        </is>
      </c>
      <c r="G157" s="8" t="inlineStr">
        <is>
          <t>Mansi</t>
        </is>
      </c>
      <c r="H157" s="8" t="inlineStr"/>
      <c r="I157" s="8" t="inlineStr"/>
      <c r="J157" s="7" t="inlineStr">
        <is>
          <t>LLRD › 3. Detailed functional requirements</t>
        </is>
      </c>
    </row>
    <row r="158">
      <c r="A158" s="7" t="inlineStr">
        <is>
          <t>LLR-13.1</t>
        </is>
      </c>
      <c r="B158" s="7" t="inlineStr">
        <is>
          <t>Functional (LLR)</t>
        </is>
      </c>
      <c r="C158" s="7" t="inlineStr">
        <is>
          <t>HLR-13</t>
        </is>
      </c>
      <c r="D158" s="8" t="inlineStr">
        <is>
          <t>The tile form (new tile and ✎ edit) has a Use areas switch, on by default. POST /categories and PATCH /categories/{id} accept useAreas; every tile in GET /categories returns useAreas, and each area returns hidden</t>
        </is>
      </c>
      <c r="E158" s="8" t="inlineStr">
        <is>
          <t>Built &amp; tested</t>
        </is>
      </c>
      <c r="F158" s="8" t="inlineStr">
        <is>
          <t>Must</t>
        </is>
      </c>
      <c r="G158" s="8" t="inlineStr">
        <is>
          <t>Mansi</t>
        </is>
      </c>
      <c r="H158" s="8" t="inlineStr"/>
      <c r="I158" s="8" t="inlineStr"/>
      <c r="J158" s="7" t="inlineStr">
        <is>
          <t>LLRD › 3. Detailed functional requirements</t>
        </is>
      </c>
    </row>
    <row r="159">
      <c r="A159" s="7" t="inlineStr">
        <is>
          <t>LLR-13.2</t>
        </is>
      </c>
      <c r="B159" s="7" t="inlineStr">
        <is>
          <t>Functional (LLR)</t>
        </is>
      </c>
      <c r="C159" s="7" t="inlineStr">
        <is>
          <t>HLR-13</t>
        </is>
      </c>
      <c r="D159" s="8" t="inlineStr">
        <is>
          <t>Switching areas off is only possible while the tile has no areas; otherwise the switch is disabled with "move or delete its N areas first" and the API answers 409 (BR-R31)</t>
        </is>
      </c>
      <c r="E159" s="8" t="inlineStr">
        <is>
          <t>Built &amp; tested</t>
        </is>
      </c>
      <c r="F159" s="8" t="inlineStr">
        <is>
          <t>Must</t>
        </is>
      </c>
      <c r="G159" s="8" t="inlineStr">
        <is>
          <t>Mansi</t>
        </is>
      </c>
      <c r="H159" s="8" t="inlineStr"/>
      <c r="I159" s="8" t="inlineStr"/>
      <c r="J159" s="7" t="inlineStr">
        <is>
          <t>LLRD › 3. Detailed functional requirements</t>
        </is>
      </c>
    </row>
    <row r="160">
      <c r="A160" s="7" t="inlineStr">
        <is>
          <t>LLR-13.3</t>
        </is>
      </c>
      <c r="B160" s="7" t="inlineStr">
        <is>
          <t>Functional (LLR)</t>
        </is>
      </c>
      <c r="C160" s="7" t="inlineStr">
        <is>
          <t>HLR-13</t>
        </is>
      </c>
      <c r="D160" s="8" t="inlineStr">
        <is>
          <t>A tile without areas opens straight to Tasks | Rewards | Notes &amp; contacts at #/rewards/c/{tile} (/rewards, /details), with the tile's name, icon and its ✎ / 🗑 buttons. Old links to its hidden area open the tile instead</t>
        </is>
      </c>
      <c r="E160" s="8" t="inlineStr">
        <is>
          <t>Built &amp; tested</t>
        </is>
      </c>
      <c r="F160" s="8" t="inlineStr">
        <is>
          <t>Must</t>
        </is>
      </c>
      <c r="G160" s="8" t="inlineStr">
        <is>
          <t>Mansi</t>
        </is>
      </c>
      <c r="H160" s="8" t="inlineStr"/>
      <c r="I160" s="8" t="inlineStr"/>
      <c r="J160" s="7" t="inlineStr">
        <is>
          <t>LLRD › 3. Detailed functional requirements</t>
        </is>
      </c>
    </row>
    <row r="161">
      <c r="A161" s="7" t="inlineStr">
        <is>
          <t>LLR-13.4</t>
        </is>
      </c>
      <c r="B161" s="7" t="inlineStr">
        <is>
          <t>Functional (LLR)</t>
        </is>
      </c>
      <c r="C161" s="7" t="inlineStr">
        <is>
          <t>HLR-13</t>
        </is>
      </c>
      <c r="D161" s="8" t="inlineStr">
        <is>
          <t>Tiles screen shows "N active tasks" without an area count; the Tasks, Rewards and Link screens, area pickers, search results and the dashboard show such tasks and rewards under the tile name alone (e.g. "💼 Career / Office / Work", never "› General")</t>
        </is>
      </c>
      <c r="E161" s="8" t="inlineStr">
        <is>
          <t>Built &amp; tested</t>
        </is>
      </c>
      <c r="F161" s="8" t="inlineStr">
        <is>
          <t>Must</t>
        </is>
      </c>
      <c r="G161" s="8" t="inlineStr">
        <is>
          <t>Mansi</t>
        </is>
      </c>
      <c r="H161" s="8" t="inlineStr"/>
      <c r="I161" s="8" t="inlineStr"/>
      <c r="J161" s="7" t="inlineStr">
        <is>
          <t>LLRD › 3. Detailed functional requirements</t>
        </is>
      </c>
    </row>
    <row r="162">
      <c r="A162" s="7" t="inlineStr">
        <is>
          <t>LLR-13.5</t>
        </is>
      </c>
      <c r="B162" s="7" t="inlineStr">
        <is>
          <t>Functional (LLR)</t>
        </is>
      </c>
      <c r="C162" s="7" t="inlineStr">
        <is>
          <t>HLR-13</t>
        </is>
      </c>
      <c r="D162" s="8" t="inlineStr">
        <is>
          <t>No areas can be added to, and the hidden area can't be renamed or deleted on, a tile without areas (409); the starter set never adds areas to it</t>
        </is>
      </c>
      <c r="E162" s="8" t="inlineStr">
        <is>
          <t>Built &amp; tested</t>
        </is>
      </c>
      <c r="F162" s="8" t="inlineStr">
        <is>
          <t>Must</t>
        </is>
      </c>
      <c r="G162" s="8" t="inlineStr">
        <is>
          <t>Mansi</t>
        </is>
      </c>
      <c r="H162" s="8" t="inlineStr"/>
      <c r="I162" s="8" t="inlineStr"/>
      <c r="J162" s="7" t="inlineStr">
        <is>
          <t>LLRD › 3. Detailed functional requirements</t>
        </is>
      </c>
    </row>
    <row r="163">
      <c r="A163" s="7" t="inlineStr">
        <is>
          <t>LLR-13.6</t>
        </is>
      </c>
      <c r="B163" s="7" t="inlineStr">
        <is>
          <t>Functional (LLR)</t>
        </is>
      </c>
      <c r="C163" s="7" t="inlineStr">
        <is>
          <t>HLR-13</t>
        </is>
      </c>
      <c r="D163" s="8" t="inlineStr">
        <is>
          <t>Switching areas back on: if the tile holds anything, its hidden area becomes a normal area called General with everything in it; if it's empty, it simply goes</t>
        </is>
      </c>
      <c r="E163" s="8" t="inlineStr">
        <is>
          <t>Built &amp; tested</t>
        </is>
      </c>
      <c r="F163" s="8" t="inlineStr">
        <is>
          <t>Must</t>
        </is>
      </c>
      <c r="G163" s="8" t="inlineStr">
        <is>
          <t>Mansi</t>
        </is>
      </c>
      <c r="H163" s="8" t="inlineStr"/>
      <c r="I163" s="8" t="inlineStr"/>
      <c r="J163" s="7" t="inlineStr">
        <is>
          <t>LLRD › 3. Detailed functional requirements</t>
        </is>
      </c>
    </row>
    <row r="164">
      <c r="A164" s="7" t="inlineStr">
        <is>
          <t>LLR-13.7</t>
        </is>
      </c>
      <c r="B164" s="7" t="inlineStr">
        <is>
          <t>Functional (LLR)</t>
        </is>
      </c>
      <c r="C164" s="7" t="inlineStr">
        <is>
          <t>HLR-13</t>
        </is>
      </c>
      <c r="D164" s="8" t="inlineStr">
        <is>
          <t>Move a task: the task's edit form has a *Tile or area* picker (PATCH /tasks/{id} with areaId). Completions, streaks and reward links move with it</t>
        </is>
      </c>
      <c r="E164" s="8" t="inlineStr">
        <is>
          <t>Built &amp; tested</t>
        </is>
      </c>
      <c r="F164" s="8" t="inlineStr">
        <is>
          <t>Must</t>
        </is>
      </c>
      <c r="G164" s="8" t="inlineStr">
        <is>
          <t>Mansi</t>
        </is>
      </c>
      <c r="H164" s="8" t="inlineStr"/>
      <c r="I164" s="8" t="inlineStr"/>
      <c r="J164" s="7" t="inlineStr">
        <is>
          <t>LLRD › 3. Detailed functional requirements</t>
        </is>
      </c>
    </row>
    <row r="165">
      <c r="A165" s="7" t="inlineStr">
        <is>
          <t>LLR-13.8</t>
        </is>
      </c>
      <c r="B165" s="7" t="inlineStr">
        <is>
          <t>Functional (LLR)</t>
        </is>
      </c>
      <c r="C165" s="7" t="inlineStr">
        <is>
          <t>HLR-13</t>
        </is>
      </c>
      <c r="D165" s="8" t="inlineStr">
        <is>
          <t>Existing data is kept: migration 0006_tile_without_areas adds areas.hidden (false for every existing area), with a backup first</t>
        </is>
      </c>
      <c r="E165" s="8" t="inlineStr">
        <is>
          <t>Built &amp; tested</t>
        </is>
      </c>
      <c r="F165" s="8" t="inlineStr">
        <is>
          <t>Must</t>
        </is>
      </c>
      <c r="G165" s="8" t="inlineStr">
        <is>
          <t>Mansi</t>
        </is>
      </c>
      <c r="H165" s="8" t="inlineStr"/>
      <c r="I165" s="8" t="inlineStr"/>
      <c r="J165" s="7" t="inlineStr">
        <is>
          <t>LLRD › 3. Detailed functional requirements</t>
        </is>
      </c>
    </row>
    <row r="166">
      <c r="A166" s="7" t="inlineStr">
        <is>
          <t>BR-R1</t>
        </is>
      </c>
      <c r="B166" s="7" t="inlineStr">
        <is>
          <t>Business rule</t>
        </is>
      </c>
      <c r="C166" s="7" t="inlineStr">
        <is>
          <t>HLR-3</t>
        </is>
      </c>
      <c r="D166" s="8" t="inlineStr">
        <is>
          <t>A period is a local calendar day (daily) or a Monday–Sunday week (weekly) in BFF_TIMEZONE</t>
        </is>
      </c>
      <c r="E166" s="8" t="inlineStr">
        <is>
          <t>Built &amp; tested</t>
        </is>
      </c>
      <c r="F166" s="8" t="inlineStr">
        <is>
          <t>Must</t>
        </is>
      </c>
      <c r="G166" s="8" t="inlineStr">
        <is>
          <t>Mansi</t>
        </is>
      </c>
      <c r="H166" s="8" t="inlineStr"/>
      <c r="I166" s="8" t="inlineStr"/>
      <c r="J166" s="7" t="inlineStr">
        <is>
          <t>LLRD › 3. Detailed functional requirements</t>
        </is>
      </c>
    </row>
    <row r="167">
      <c r="A167" s="7" t="inlineStr">
        <is>
          <t>BR-R2</t>
        </is>
      </c>
      <c r="B167" s="7" t="inlineStr">
        <is>
          <t>Business rule</t>
        </is>
      </c>
      <c r="C167" s="7" t="inlineStr">
        <is>
          <t>HLR-3</t>
        </is>
      </c>
      <c r="D167" s="8" t="inlineStr">
        <is>
          <t>Several completions in one period count once towards the streak (they all count towards completion count)</t>
        </is>
      </c>
      <c r="E167" s="8" t="inlineStr">
        <is>
          <t>Built &amp; tested</t>
        </is>
      </c>
      <c r="F167" s="8" t="inlineStr">
        <is>
          <t>Must</t>
        </is>
      </c>
      <c r="G167" s="8" t="inlineStr">
        <is>
          <t>Mansi</t>
        </is>
      </c>
      <c r="H167" s="8" t="inlineStr"/>
      <c r="I167" s="8" t="inlineStr"/>
      <c r="J167" s="7" t="inlineStr">
        <is>
          <t>LLRD › 3. Detailed functional requirements</t>
        </is>
      </c>
    </row>
    <row r="168">
      <c r="A168" s="7" t="inlineStr">
        <is>
          <t>BR-R3</t>
        </is>
      </c>
      <c r="B168" s="7" t="inlineStr">
        <is>
          <t>Business rule</t>
        </is>
      </c>
      <c r="C168" s="7" t="inlineStr">
        <is>
          <t>HLR-3</t>
        </is>
      </c>
      <c r="D168" s="8" t="inlineStr">
        <is>
          <t>Best streak = longest run of consecutive periods with ≥ 1 completion</t>
        </is>
      </c>
      <c r="E168" s="8" t="inlineStr">
        <is>
          <t>Built &amp; tested</t>
        </is>
      </c>
      <c r="F168" s="8" t="inlineStr">
        <is>
          <t>Must</t>
        </is>
      </c>
      <c r="G168" s="8" t="inlineStr">
        <is>
          <t>Mansi</t>
        </is>
      </c>
      <c r="H168" s="8" t="inlineStr"/>
      <c r="I168" s="8" t="inlineStr"/>
      <c r="J168" s="7" t="inlineStr">
        <is>
          <t>LLRD › 3. Detailed functional requirements</t>
        </is>
      </c>
    </row>
    <row r="169">
      <c r="A169" s="7" t="inlineStr">
        <is>
          <t>BR-R4</t>
        </is>
      </c>
      <c r="B169" s="7" t="inlineStr">
        <is>
          <t>Business rule</t>
        </is>
      </c>
      <c r="C169" s="7" t="inlineStr">
        <is>
          <t>HLR-3</t>
        </is>
      </c>
      <c r="D169" s="8" t="inlineStr">
        <is>
          <t>Current streak = the run ending at the latest completed period, if that period is the current or the previous one; otherwise 0</t>
        </is>
      </c>
      <c r="E169" s="8" t="inlineStr">
        <is>
          <t>Built &amp; tested</t>
        </is>
      </c>
      <c r="F169" s="8" t="inlineStr">
        <is>
          <t>Must</t>
        </is>
      </c>
      <c r="G169" s="8" t="inlineStr">
        <is>
          <t>Mansi</t>
        </is>
      </c>
      <c r="H169" s="8" t="inlineStr"/>
      <c r="I169" s="8" t="inlineStr"/>
      <c r="J169" s="7" t="inlineStr">
        <is>
          <t>LLRD › 3. Detailed functional requirements</t>
        </is>
      </c>
    </row>
    <row r="170">
      <c r="A170" s="7" t="inlineStr">
        <is>
          <t>BR-R5</t>
        </is>
      </c>
      <c r="B170" s="7" t="inlineStr">
        <is>
          <t>Business rule</t>
        </is>
      </c>
      <c r="C170" s="7" t="inlineStr">
        <is>
          <t>HLR-3</t>
        </is>
      </c>
      <c r="D170" s="8" t="inlineStr">
        <is>
          <t>One-off tasks: streak = 1 once completed, else 0 (not shown as an active streak)</t>
        </is>
      </c>
      <c r="E170" s="8" t="inlineStr">
        <is>
          <t>Built &amp; tested</t>
        </is>
      </c>
      <c r="F170" s="8" t="inlineStr">
        <is>
          <t>Must</t>
        </is>
      </c>
      <c r="G170" s="8" t="inlineStr">
        <is>
          <t>Mansi</t>
        </is>
      </c>
      <c r="H170" s="8" t="inlineStr"/>
      <c r="I170" s="8" t="inlineStr"/>
      <c r="J170" s="7" t="inlineStr">
        <is>
          <t>LLRD › 3. Detailed functional requirements</t>
        </is>
      </c>
    </row>
    <row r="171">
      <c r="A171" s="7" t="inlineStr">
        <is>
          <t>BR-R6</t>
        </is>
      </c>
      <c r="B171" s="7" t="inlineStr">
        <is>
          <t>Business rule</t>
        </is>
      </c>
      <c r="C171" s="7" t="inlineStr">
        <is>
          <t>HLR-3</t>
        </is>
      </c>
      <c r="D171" s="8" t="inlineStr">
        <is>
          <t>Streaks are derived from the activity log on every read (never stored)</t>
        </is>
      </c>
      <c r="E171" s="8" t="inlineStr">
        <is>
          <t>Built &amp; tested</t>
        </is>
      </c>
      <c r="F171" s="8" t="inlineStr">
        <is>
          <t>Must</t>
        </is>
      </c>
      <c r="G171" s="8" t="inlineStr">
        <is>
          <t>Mansi</t>
        </is>
      </c>
      <c r="H171" s="8" t="inlineStr"/>
      <c r="I171" s="8" t="inlineStr"/>
      <c r="J171" s="7" t="inlineStr">
        <is>
          <t>LLRD › 3. Detailed functional requirements</t>
        </is>
      </c>
    </row>
    <row r="172">
      <c r="A172" s="7" t="inlineStr">
        <is>
          <t>BR-R7</t>
        </is>
      </c>
      <c r="B172" s="7" t="inlineStr">
        <is>
          <t>Business rule</t>
        </is>
      </c>
      <c r="C172" s="7" t="inlineStr">
        <is>
          <t>HLR-4</t>
        </is>
      </c>
      <c r="D172" s="8" t="inlineStr">
        <is>
          <t>*Completions* rule progress = total completions of all tagged tasks (all-time)</t>
        </is>
      </c>
      <c r="E172" s="8" t="inlineStr">
        <is>
          <t>Built &amp; tested</t>
        </is>
      </c>
      <c r="F172" s="8" t="inlineStr">
        <is>
          <t>Must</t>
        </is>
      </c>
      <c r="G172" s="8" t="inlineStr">
        <is>
          <t>Mansi</t>
        </is>
      </c>
      <c r="H172" s="8" t="inlineStr"/>
      <c r="I172" s="8" t="inlineStr"/>
      <c r="J172" s="7" t="inlineStr">
        <is>
          <t>LLRD › 3. Detailed functional requirements</t>
        </is>
      </c>
    </row>
    <row r="173">
      <c r="A173" s="7" t="inlineStr">
        <is>
          <t>BR-R8</t>
        </is>
      </c>
      <c r="B173" s="7" t="inlineStr">
        <is>
          <t>Business rule</t>
        </is>
      </c>
      <c r="C173" s="7" t="inlineStr">
        <is>
          <t>HLR-4</t>
        </is>
      </c>
      <c r="D173" s="8" t="inlineStr">
        <is>
          <t>*Streak* rule progress = the highest current streak among tagged tasks</t>
        </is>
      </c>
      <c r="E173" s="8" t="inlineStr">
        <is>
          <t>Built &amp; tested</t>
        </is>
      </c>
      <c r="F173" s="8" t="inlineStr">
        <is>
          <t>Must</t>
        </is>
      </c>
      <c r="G173" s="8" t="inlineStr">
        <is>
          <t>Mansi</t>
        </is>
      </c>
      <c r="H173" s="8" t="inlineStr"/>
      <c r="I173" s="8" t="inlineStr"/>
      <c r="J173" s="7" t="inlineStr">
        <is>
          <t>LLRD › 3. Detailed functional requirements</t>
        </is>
      </c>
    </row>
    <row r="174">
      <c r="A174" s="7" t="inlineStr">
        <is>
          <t>BR-R9</t>
        </is>
      </c>
      <c r="B174" s="7" t="inlineStr">
        <is>
          <t>Business rule</t>
        </is>
      </c>
      <c r="C174" s="7" t="inlineStr">
        <is>
          <t>HLR-4</t>
        </is>
      </c>
      <c r="D174" s="8" t="inlineStr">
        <is>
          <t>The unlock check runs on task completion, reward creation, reward update and tag change</t>
        </is>
      </c>
      <c r="E174" s="8" t="inlineStr">
        <is>
          <t>Built &amp; tested</t>
        </is>
      </c>
      <c r="F174" s="8" t="inlineStr">
        <is>
          <t>Must</t>
        </is>
      </c>
      <c r="G174" s="8" t="inlineStr">
        <is>
          <t>Mansi</t>
        </is>
      </c>
      <c r="H174" s="8" t="inlineStr"/>
      <c r="I174" s="8" t="inlineStr"/>
      <c r="J174" s="7" t="inlineStr">
        <is>
          <t>LLRD › 3. Detailed functional requirements</t>
        </is>
      </c>
    </row>
    <row r="175">
      <c r="A175" s="7" t="inlineStr">
        <is>
          <t>BR-R10</t>
        </is>
      </c>
      <c r="B175" s="7" t="inlineStr">
        <is>
          <t>Business rule</t>
        </is>
      </c>
      <c r="C175" s="7" t="inlineStr">
        <is>
          <t>HLR-4</t>
        </is>
      </c>
      <c r="D175" s="8" t="inlineStr">
        <is>
          <t>Status flow locked → unlocked → claimed only; there's no path back</t>
        </is>
      </c>
      <c r="E175" s="8" t="inlineStr">
        <is>
          <t>Built &amp; tested</t>
        </is>
      </c>
      <c r="F175" s="8" t="inlineStr">
        <is>
          <t>Must</t>
        </is>
      </c>
      <c r="G175" s="8" t="inlineStr">
        <is>
          <t>Mansi</t>
        </is>
      </c>
      <c r="H175" s="8" t="inlineStr"/>
      <c r="I175" s="8" t="inlineStr"/>
      <c r="J175" s="7" t="inlineStr">
        <is>
          <t>LLRD › 3. Detailed functional requirements</t>
        </is>
      </c>
    </row>
    <row r="176">
      <c r="A176" s="7" t="inlineStr">
        <is>
          <t>BR-R11</t>
        </is>
      </c>
      <c r="B176" s="7" t="inlineStr">
        <is>
          <t>Business rule</t>
        </is>
      </c>
      <c r="C176" s="7" t="inlineStr">
        <is>
          <t>HLR-4</t>
        </is>
      </c>
      <c r="D176" s="8" t="inlineStr">
        <is>
          <t>Unlocked and claimed rewards always show 100 %</t>
        </is>
      </c>
      <c r="E176" s="8" t="inlineStr">
        <is>
          <t>Built &amp; tested</t>
        </is>
      </c>
      <c r="F176" s="8" t="inlineStr">
        <is>
          <t>Must</t>
        </is>
      </c>
      <c r="G176" s="8" t="inlineStr">
        <is>
          <t>Mansi</t>
        </is>
      </c>
      <c r="H176" s="8" t="inlineStr"/>
      <c r="I176" s="8" t="inlineStr"/>
      <c r="J176" s="7" t="inlineStr">
        <is>
          <t>LLRD › 3. Detailed functional requirements</t>
        </is>
      </c>
    </row>
    <row r="177">
      <c r="A177" s="7" t="inlineStr">
        <is>
          <t>BR-R12</t>
        </is>
      </c>
      <c r="B177" s="7" t="inlineStr">
        <is>
          <t>Business rule</t>
        </is>
      </c>
      <c r="C177" s="7" t="inlineStr">
        <is>
          <t>HLR-9</t>
        </is>
      </c>
      <c r="D177" s="8" t="inlineStr">
        <is>
          <t>Scope containment. A task is in a reward's scope when the task's area belongs to the reward's tile and, if the reward has an area, the task's area *is* that area</t>
        </is>
      </c>
      <c r="E177" s="8" t="inlineStr">
        <is>
          <t>Built &amp; tested</t>
        </is>
      </c>
      <c r="F177" s="8" t="inlineStr">
        <is>
          <t>Must</t>
        </is>
      </c>
      <c r="G177" s="8" t="inlineStr">
        <is>
          <t>Mansi</t>
        </is>
      </c>
      <c r="H177" s="8" t="inlineStr"/>
      <c r="I177" s="8" t="inlineStr"/>
      <c r="J177" s="7" t="inlineStr">
        <is>
          <t>LLRD › 3. Detailed functional requirements</t>
        </is>
      </c>
    </row>
    <row r="178">
      <c r="A178" s="7" t="inlineStr">
        <is>
          <t>BR-R13</t>
        </is>
      </c>
      <c r="B178" s="7" t="inlineStr">
        <is>
          <t>Business rule</t>
        </is>
      </c>
      <c r="C178" s="7" t="inlineStr">
        <is>
          <t>HLR-9</t>
        </is>
      </c>
      <c r="D178" s="8" t="inlineStr">
        <is>
          <t>Matched tasks. *Selected tasks*: the tagged tasks (all in scope). *All tasks in scope*: every task in scope whose status isn't archived. BR-R7 and BR-R8 compute progress over the matched tasks</t>
        </is>
      </c>
      <c r="E178" s="8" t="inlineStr">
        <is>
          <t>Built &amp; tested</t>
        </is>
      </c>
      <c r="F178" s="8" t="inlineStr">
        <is>
          <t>Must</t>
        </is>
      </c>
      <c r="G178" s="8" t="inlineStr">
        <is>
          <t>Mansi</t>
        </is>
      </c>
      <c r="H178" s="8" t="inlineStr"/>
      <c r="I178" s="8" t="inlineStr"/>
      <c r="J178" s="7" t="inlineStr">
        <is>
          <t>LLRD › 3. Detailed functional requirements</t>
        </is>
      </c>
    </row>
    <row r="179">
      <c r="A179" s="7" t="inlineStr">
        <is>
          <t>BR-R14</t>
        </is>
      </c>
      <c r="B179" s="7" t="inlineStr">
        <is>
          <t>Business rule</t>
        </is>
      </c>
      <c r="C179" s="7" t="inlineStr">
        <is>
          <t>HLR-9</t>
        </is>
      </c>
      <c r="D179" s="8" t="inlineStr">
        <is>
          <t>In *All tasks in scope* mode, tags are ignored for progress (they're kept, so switching back to *Selected tasks* restores them)</t>
        </is>
      </c>
      <c r="E179" s="8" t="inlineStr">
        <is>
          <t>Built &amp; tested</t>
        </is>
      </c>
      <c r="F179" s="8" t="inlineStr">
        <is>
          <t>Must</t>
        </is>
      </c>
      <c r="G179" s="8" t="inlineStr">
        <is>
          <t>Mansi</t>
        </is>
      </c>
      <c r="H179" s="8" t="inlineStr"/>
      <c r="I179" s="8" t="inlineStr"/>
      <c r="J179" s="7" t="inlineStr">
        <is>
          <t>LLRD › 3. Detailed functional requirements</t>
        </is>
      </c>
    </row>
    <row r="180">
      <c r="A180" s="7" t="inlineStr">
        <is>
          <t>BR-R15</t>
        </is>
      </c>
      <c r="B180" s="7" t="inlineStr">
        <is>
          <t>Business rule</t>
        </is>
      </c>
      <c r="C180" s="7" t="inlineStr">
        <is>
          <t>HLR-9</t>
        </is>
      </c>
      <c r="D180" s="8" t="inlineStr">
        <is>
          <t>The unlock check (BR-R9) on completion evaluates every locked reward that matches the completed task, whether tagged or by scope</t>
        </is>
      </c>
      <c r="E180" s="8" t="inlineStr">
        <is>
          <t>Built &amp; tested</t>
        </is>
      </c>
      <c r="F180" s="8" t="inlineStr">
        <is>
          <t>Must</t>
        </is>
      </c>
      <c r="G180" s="8" t="inlineStr">
        <is>
          <t>Mansi</t>
        </is>
      </c>
      <c r="H180" s="8" t="inlineStr"/>
      <c r="I180" s="8" t="inlineStr"/>
      <c r="J180" s="7" t="inlineStr">
        <is>
          <t>LLRD › 3. Detailed functional requirements</t>
        </is>
      </c>
    </row>
    <row r="181">
      <c r="A181" s="7" t="inlineStr">
        <is>
          <t>BR-R16</t>
        </is>
      </c>
      <c r="B181" s="7" t="inlineStr">
        <is>
          <t>Business rule</t>
        </is>
      </c>
      <c r="C181" s="7" t="inlineStr">
        <is>
          <t>HLR-9</t>
        </is>
      </c>
      <c r="D181" s="8" t="inlineStr">
        <is>
          <t>A reward marked *Needs a tile* (LLR-4.18) still shows progress from its tags, but can't be edited until a tile is chosen. It never unlocks from tasks outside the tile the user then picks</t>
        </is>
      </c>
      <c r="E181" s="8" t="inlineStr">
        <is>
          <t>Built &amp; tested</t>
        </is>
      </c>
      <c r="F181" s="8" t="inlineStr">
        <is>
          <t>Must</t>
        </is>
      </c>
      <c r="G181" s="8" t="inlineStr">
        <is>
          <t>Mansi</t>
        </is>
      </c>
      <c r="H181" s="8" t="inlineStr"/>
      <c r="I181" s="8" t="inlineStr"/>
      <c r="J181" s="7" t="inlineStr">
        <is>
          <t>LLRD › 3. Detailed functional requirements</t>
        </is>
      </c>
    </row>
    <row r="182">
      <c r="A182" s="7" t="inlineStr">
        <is>
          <t>BR-R17</t>
        </is>
      </c>
      <c r="B182" s="7" t="inlineStr">
        <is>
          <t>Business rule</t>
        </is>
      </c>
      <c r="C182" s="7" t="inlineStr">
        <is>
          <t>HLR-1</t>
        </is>
      </c>
      <c r="D182" s="8" t="inlineStr">
        <is>
          <t>Tile names are unique ignoring case; area names are unique within their tile ignoring case</t>
        </is>
      </c>
      <c r="E182" s="8" t="inlineStr">
        <is>
          <t>Built &amp; tested</t>
        </is>
      </c>
      <c r="F182" s="8" t="inlineStr">
        <is>
          <t>Must</t>
        </is>
      </c>
      <c r="G182" s="8" t="inlineStr">
        <is>
          <t>Mansi</t>
        </is>
      </c>
      <c r="H182" s="8" t="inlineStr"/>
      <c r="I182" s="8" t="inlineStr"/>
      <c r="J182" s="7" t="inlineStr">
        <is>
          <t>LLRD › 3. Detailed functional requirements</t>
        </is>
      </c>
    </row>
    <row r="183">
      <c r="A183" s="7" t="inlineStr">
        <is>
          <t>BR-R18</t>
        </is>
      </c>
      <c r="B183" s="7" t="inlineStr">
        <is>
          <t>Business rule</t>
        </is>
      </c>
      <c r="C183" s="7" t="inlineStr">
        <is>
          <t>HLR-1</t>
        </is>
      </c>
      <c r="D183" s="8" t="inlineStr">
        <is>
          <t>Deleting a tile removes everything under it (areas, tasks, completions, rewards scoped to it, notes, contacts, files) in one transaction, after a database snapshot is saved to data/backups/</t>
        </is>
      </c>
      <c r="E183" s="8" t="inlineStr">
        <is>
          <t>Built &amp; tested</t>
        </is>
      </c>
      <c r="F183" s="8" t="inlineStr">
        <is>
          <t>Must</t>
        </is>
      </c>
      <c r="G183" s="8" t="inlineStr">
        <is>
          <t>Mansi</t>
        </is>
      </c>
      <c r="H183" s="8" t="inlineStr"/>
      <c r="I183" s="8" t="inlineStr"/>
      <c r="J183" s="7" t="inlineStr">
        <is>
          <t>LLRD › 3. Detailed functional requirements</t>
        </is>
      </c>
    </row>
    <row r="184">
      <c r="A184" s="7" t="inlineStr">
        <is>
          <t>BR-R19</t>
        </is>
      </c>
      <c r="B184" s="7" t="inlineStr">
        <is>
          <t>Business rule</t>
        </is>
      </c>
      <c r="C184" s="7" t="inlineStr">
        <is>
          <t>HLR-1</t>
        </is>
      </c>
      <c r="D184" s="8" t="inlineStr">
        <is>
          <t>The starter set only adds tiles and areas whose names are missing; it never renames, merges or deletes</t>
        </is>
      </c>
      <c r="E184" s="8" t="inlineStr">
        <is>
          <t>Built &amp; tested</t>
        </is>
      </c>
      <c r="F184" s="8" t="inlineStr">
        <is>
          <t>Must</t>
        </is>
      </c>
      <c r="G184" s="8" t="inlineStr">
        <is>
          <t>Mansi</t>
        </is>
      </c>
      <c r="H184" s="8" t="inlineStr"/>
      <c r="I184" s="8" t="inlineStr"/>
      <c r="J184" s="7" t="inlineStr">
        <is>
          <t>LLRD › 3. Detailed functional requirements</t>
        </is>
      </c>
    </row>
    <row r="185">
      <c r="A185" s="7" t="inlineStr">
        <is>
          <t>BR-R20</t>
        </is>
      </c>
      <c r="B185" s="7" t="inlineStr">
        <is>
          <t>Business rule</t>
        </is>
      </c>
      <c r="C185" s="7" t="inlineStr">
        <is>
          <t>HLR-10</t>
        </is>
      </c>
      <c r="D185" s="8" t="inlineStr">
        <is>
          <t>Details belong to exactly one owner: a tile or an area. Moving an area to another tile isn't supported, so details never change tile</t>
        </is>
      </c>
      <c r="E185" s="8" t="inlineStr">
        <is>
          <t>Built &amp; tested</t>
        </is>
      </c>
      <c r="F185" s="8" t="inlineStr">
        <is>
          <t>Must</t>
        </is>
      </c>
      <c r="G185" s="8" t="inlineStr">
        <is>
          <t>Mansi</t>
        </is>
      </c>
      <c r="H185" s="8" t="inlineStr"/>
      <c r="I185" s="8" t="inlineStr"/>
      <c r="J185" s="7" t="inlineStr">
        <is>
          <t>LLRD › 3. Detailed functional requirements</t>
        </is>
      </c>
    </row>
    <row r="186">
      <c r="A186" s="7" t="inlineStr">
        <is>
          <t>BR-R21</t>
        </is>
      </c>
      <c r="B186" s="7" t="inlineStr">
        <is>
          <t>Business rule</t>
        </is>
      </c>
      <c r="C186" s="7" t="inlineStr">
        <is>
          <t>HLR-10</t>
        </is>
      </c>
      <c r="D186" s="8" t="inlineStr">
        <is>
          <t>The "last executive" of a topic is the *Service executive* or *Technician* contact in that topic with the latest last-visit date; contacts without a date come after dated ones</t>
        </is>
      </c>
      <c r="E186" s="8" t="inlineStr">
        <is>
          <t>Built &amp; tested</t>
        </is>
      </c>
      <c r="F186" s="8" t="inlineStr">
        <is>
          <t>Must</t>
        </is>
      </c>
      <c r="G186" s="8" t="inlineStr">
        <is>
          <t>Mansi</t>
        </is>
      </c>
      <c r="H186" s="8" t="inlineStr"/>
      <c r="I186" s="8" t="inlineStr"/>
      <c r="J186" s="7" t="inlineStr">
        <is>
          <t>LLRD › 3. Detailed functional requirements</t>
        </is>
      </c>
    </row>
    <row r="187">
      <c r="A187" s="7" t="inlineStr">
        <is>
          <t>BR-R22</t>
        </is>
      </c>
      <c r="B187" s="7" t="inlineStr">
        <is>
          <t>Business rule</t>
        </is>
      </c>
      <c r="C187" s="7" t="inlineStr">
        <is>
          <t>HLR-11</t>
        </is>
      </c>
      <c r="D187" s="8" t="inlineStr">
        <is>
          <t>A task is overdue when it's active, has a due date, and the due date is before now. Done and archived tasks are never overdue</t>
        </is>
      </c>
      <c r="E187" s="8" t="inlineStr">
        <is>
          <t>Built &amp; tested</t>
        </is>
      </c>
      <c r="F187" s="8" t="inlineStr">
        <is>
          <t>Must</t>
        </is>
      </c>
      <c r="G187" s="8" t="inlineStr">
        <is>
          <t>Mansi</t>
        </is>
      </c>
      <c r="H187" s="8" t="inlineStr"/>
      <c r="I187" s="8" t="inlineStr"/>
      <c r="J187" s="7" t="inlineStr">
        <is>
          <t>LLRD › 3. Detailed functional requirements</t>
        </is>
      </c>
    </row>
    <row r="188">
      <c r="A188" s="7" t="inlineStr">
        <is>
          <t>BR-R23</t>
        </is>
      </c>
      <c r="B188" s="7" t="inlineStr">
        <is>
          <t>Business rule</t>
        </is>
      </c>
      <c r="C188" s="7" t="inlineStr">
        <is>
          <t>HLR-11</t>
        </is>
      </c>
      <c r="D188" s="8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  <c r="E188" s="8" t="inlineStr">
        <is>
          <t>Built &amp; tested</t>
        </is>
      </c>
      <c r="F188" s="8" t="inlineStr">
        <is>
          <t>Must</t>
        </is>
      </c>
      <c r="G188" s="8" t="inlineStr">
        <is>
          <t>Mansi</t>
        </is>
      </c>
      <c r="H188" s="8" t="inlineStr"/>
      <c r="I188" s="8" t="inlineStr"/>
      <c r="J188" s="7" t="inlineStr">
        <is>
          <t>LLRD › 3. Detailed functional requirements</t>
        </is>
      </c>
    </row>
    <row r="189">
      <c r="A189" s="7" t="inlineStr">
        <is>
          <t>BR-R24</t>
        </is>
      </c>
      <c r="B189" s="7" t="inlineStr">
        <is>
          <t>Business rule</t>
        </is>
      </c>
      <c r="C189" s="7" t="inlineStr">
        <is>
          <t>HLR-11</t>
        </is>
      </c>
      <c r="D189" s="8" t="inlineStr">
        <is>
          <t>Celebrations and share prompts happen only for announced tasks. A reward unlocked by a silent task's completion is unlocked quietly (no share prompt); the reward itself stays visible</t>
        </is>
      </c>
      <c r="E189" s="8" t="inlineStr">
        <is>
          <t>Built &amp; tested</t>
        </is>
      </c>
      <c r="F189" s="8" t="inlineStr">
        <is>
          <t>Must</t>
        </is>
      </c>
      <c r="G189" s="8" t="inlineStr">
        <is>
          <t>Mansi</t>
        </is>
      </c>
      <c r="H189" s="8" t="inlineStr"/>
      <c r="I189" s="8" t="inlineStr"/>
      <c r="J189" s="7" t="inlineStr">
        <is>
          <t>LLRD › 3. Detailed functional requirements</t>
        </is>
      </c>
    </row>
    <row r="190">
      <c r="A190" s="7" t="inlineStr">
        <is>
          <t>BR-R25</t>
        </is>
      </c>
      <c r="B190" s="7" t="inlineStr">
        <is>
          <t>Business rule</t>
        </is>
      </c>
      <c r="C190" s="7" t="inlineStr">
        <is>
          <t>HLR-11</t>
        </is>
      </c>
      <c r="D190" s="8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  <c r="E190" s="8" t="inlineStr">
        <is>
          <t>Built &amp; tested</t>
        </is>
      </c>
      <c r="F190" s="8" t="inlineStr">
        <is>
          <t>Must</t>
        </is>
      </c>
      <c r="G190" s="8" t="inlineStr">
        <is>
          <t>Mansi</t>
        </is>
      </c>
      <c r="H190" s="8" t="inlineStr"/>
      <c r="I190" s="8" t="inlineStr"/>
      <c r="J190" s="7" t="inlineStr">
        <is>
          <t>LLRD › 3. Detailed functional requirements</t>
        </is>
      </c>
    </row>
    <row r="191">
      <c r="A191" s="7" t="inlineStr">
        <is>
          <t>BR-R26</t>
        </is>
      </c>
      <c r="B191" s="7" t="inlineStr">
        <is>
          <t>Business rule</t>
        </is>
      </c>
      <c r="C191" s="7" t="inlineStr">
        <is>
          <t>HLR-11</t>
        </is>
      </c>
      <c r="D191" s="8" t="inlineStr">
        <is>
          <t>Due date and days to complete are never derived from each other or from the frequency</t>
        </is>
      </c>
      <c r="E191" s="8" t="inlineStr">
        <is>
          <t>Built &amp; tested</t>
        </is>
      </c>
      <c r="F191" s="8" t="inlineStr">
        <is>
          <t>Must</t>
        </is>
      </c>
      <c r="G191" s="8" t="inlineStr">
        <is>
          <t>Mansi</t>
        </is>
      </c>
      <c r="H191" s="8" t="inlineStr"/>
      <c r="I191" s="8" t="inlineStr"/>
      <c r="J191" s="7" t="inlineStr">
        <is>
          <t>LLRD › 3. Detailed functional requirements</t>
        </is>
      </c>
    </row>
    <row r="192">
      <c r="A192" s="7" t="inlineStr">
        <is>
          <t>BR-R27</t>
        </is>
      </c>
      <c r="B192" s="7" t="inlineStr">
        <is>
          <t>Business rule</t>
        </is>
      </c>
      <c r="C192" s="7" t="inlineStr">
        <is>
          <t>HLR-12</t>
        </is>
      </c>
      <c r="D192" s="8" t="inlineStr">
        <is>
          <t>An *Idea* has no rule and no progress. It can't unlock or be claimed, and it isn't counted in reward totals or progress on the dashboard (the dashboard shows an *Ideas* count per person)</t>
        </is>
      </c>
      <c r="E192" s="8" t="inlineStr">
        <is>
          <t>Built &amp; tested</t>
        </is>
      </c>
      <c r="F192" s="8" t="inlineStr">
        <is>
          <t>Must</t>
        </is>
      </c>
      <c r="G192" s="8" t="inlineStr">
        <is>
          <t>Mansi</t>
        </is>
      </c>
      <c r="H192" s="8" t="inlineStr"/>
      <c r="I192" s="8" t="inlineStr"/>
      <c r="J192" s="7" t="inlineStr">
        <is>
          <t>LLRD › 3. Detailed functional requirements</t>
        </is>
      </c>
    </row>
    <row r="193">
      <c r="A193" s="7" t="inlineStr">
        <is>
          <t>BR-R28</t>
        </is>
      </c>
      <c r="B193" s="7" t="inlineStr">
        <is>
          <t>Business rule</t>
        </is>
      </c>
      <c r="C193" s="7" t="inlineStr">
        <is>
          <t>HLR-12</t>
        </is>
      </c>
      <c r="D193" s="8" t="inlineStr">
        <is>
          <t>Turning an idea into a reward requires a rule and a threshold (except *milestone completed*); a tile isn't required since rewards stand alone. The idea's id is kept, so links and photos stay attached</t>
        </is>
      </c>
      <c r="E193" s="8" t="inlineStr">
        <is>
          <t>Built &amp; tested</t>
        </is>
      </c>
      <c r="F193" s="8" t="inlineStr">
        <is>
          <t>Must</t>
        </is>
      </c>
      <c r="G193" s="8" t="inlineStr">
        <is>
          <t>Mansi</t>
        </is>
      </c>
      <c r="H193" s="8" t="inlineStr"/>
      <c r="I193" s="8" t="inlineStr"/>
      <c r="J193" s="7" t="inlineStr">
        <is>
          <t>LLRD › 3. Detailed functional requirements</t>
        </is>
      </c>
    </row>
    <row r="194">
      <c r="A194" s="7" t="inlineStr">
        <is>
          <t>BR-R29</t>
        </is>
      </c>
      <c r="B194" s="7" t="inlineStr">
        <is>
          <t>Business rule</t>
        </is>
      </c>
      <c r="C194" s="7" t="inlineStr">
        <is>
          <t>HLR-12</t>
        </is>
      </c>
      <c r="D194" s="8" t="inlineStr">
        <is>
          <t>Closing is only for ideas; a reward that already has a rule is claimed, not closed. Reopening a closed idea returns it to *Idea*</t>
        </is>
      </c>
      <c r="E194" s="8" t="inlineStr">
        <is>
          <t>Built &amp; tested</t>
        </is>
      </c>
      <c r="F194" s="8" t="inlineStr">
        <is>
          <t>Must</t>
        </is>
      </c>
      <c r="G194" s="8" t="inlineStr">
        <is>
          <t>Mansi</t>
        </is>
      </c>
      <c r="H194" s="8" t="inlineStr"/>
      <c r="I194" s="8" t="inlineStr"/>
      <c r="J194" s="7" t="inlineStr">
        <is>
          <t>LLRD › 3. Detailed functional requirements</t>
        </is>
      </c>
    </row>
    <row r="195">
      <c r="A195" s="7" t="inlineStr">
        <is>
          <t>BR-R30</t>
        </is>
      </c>
      <c r="B195" s="7" t="inlineStr">
        <is>
          <t>Business rule</t>
        </is>
      </c>
      <c r="C195" s="7" t="inlineStr">
        <is>
          <t>HLR-12</t>
        </is>
      </c>
      <c r="D195" s="8" t="inlineStr">
        <is>
          <t>*For whom* is a label: it groups and filters rewards, but never changes who can see or edit them (visibility rules decide that)</t>
        </is>
      </c>
      <c r="E195" s="8" t="inlineStr">
        <is>
          <t>Built &amp; tested</t>
        </is>
      </c>
      <c r="F195" s="8" t="inlineStr">
        <is>
          <t>Must</t>
        </is>
      </c>
      <c r="G195" s="8" t="inlineStr">
        <is>
          <t>Mansi</t>
        </is>
      </c>
      <c r="H195" s="8" t="inlineStr"/>
      <c r="I195" s="8" t="inlineStr"/>
      <c r="J195" s="7" t="inlineStr">
        <is>
          <t>LLRD › 3. Detailed functional requirements</t>
        </is>
      </c>
    </row>
    <row r="196">
      <c r="A196" s="7" t="inlineStr">
        <is>
          <t>BR-R31</t>
        </is>
      </c>
      <c r="B196" s="7" t="inlineStr">
        <is>
          <t>Business rule</t>
        </is>
      </c>
      <c r="C196" s="7" t="inlineStr">
        <is>
          <t>HLR-13</t>
        </is>
      </c>
      <c r="D196" s="8" t="inlineStr">
        <is>
          <t>A tile either uses areas or holds everything itself, never both. Areas can only be switched off on a tile with no areas, so nothing is hidden or lost by the switch</t>
        </is>
      </c>
      <c r="E196" s="8" t="inlineStr">
        <is>
          <t>Built &amp; tested</t>
        </is>
      </c>
      <c r="F196" s="8" t="inlineStr">
        <is>
          <t>Must</t>
        </is>
      </c>
      <c r="G196" s="8" t="inlineStr">
        <is>
          <t>Mansi</t>
        </is>
      </c>
      <c r="H196" s="8" t="inlineStr"/>
      <c r="I196" s="8" t="inlineStr"/>
      <c r="J196" s="7" t="inlineStr">
        <is>
          <t>LLRD › 3. Detailed functional requirements</t>
        </is>
      </c>
    </row>
    <row r="197">
      <c r="A197" s="7" t="inlineStr">
        <is>
          <t>BR-R32</t>
        </is>
      </c>
      <c r="B197" s="7" t="inlineStr">
        <is>
          <t>Business rule</t>
        </is>
      </c>
      <c r="C197" s="7" t="inlineStr">
        <is>
          <t>HLR-2</t>
        </is>
      </c>
      <c r="D197" s="8" t="inlineStr">
        <is>
          <t>Each area (or tile without areas) has one task order, set only by the user: top = most important. Nothing reorders tasks automatically: not adding (goes last), completing, editing, filtering or sorting by due date. A reorder must list every active task of the area exactly once</t>
        </is>
      </c>
      <c r="E197" s="8" t="inlineStr">
        <is>
          <t>Built &amp; tested</t>
        </is>
      </c>
      <c r="F197" s="8" t="inlineStr">
        <is>
          <t>Must</t>
        </is>
      </c>
      <c r="G197" s="8" t="inlineStr">
        <is>
          <t>Mansi</t>
        </is>
      </c>
      <c r="H197" s="8" t="inlineStr"/>
      <c r="I197" s="8" t="inlineStr"/>
      <c r="J197" s="7" t="inlineStr">
        <is>
          <t>LLRD › 3. Detailed functional requirements</t>
        </is>
      </c>
    </row>
    <row r="198">
      <c r="A198" s="7" t="inlineStr">
        <is>
          <t>NFR-D1</t>
        </is>
      </c>
      <c r="B198" s="7" t="inlineStr">
        <is>
          <t>Non-functional (detailed)</t>
        </is>
      </c>
      <c r="C198" s="7" t="inlineStr">
        <is>
          <t>Cross-cutting</t>
        </is>
      </c>
      <c r="D198" s="8" t="inlineStr">
        <is>
          <t>Remote exposed chunk ≤ 50 KB gzip (now ~11 KB)</t>
        </is>
      </c>
      <c r="E198" s="8" t="inlineStr">
        <is>
          <t>Built &amp; tested</t>
        </is>
      </c>
      <c r="F198" s="8" t="inlineStr">
        <is>
          <t>Must</t>
        </is>
      </c>
      <c r="G198" s="8" t="inlineStr">
        <is>
          <t>Mansi</t>
        </is>
      </c>
      <c r="H198" s="8" t="inlineStr"/>
      <c r="I198" s="8" t="inlineStr"/>
      <c r="J198" s="7" t="inlineStr">
        <is>
          <t>LLRD › 6. Detailed non-functional requirements</t>
        </is>
      </c>
    </row>
    <row r="199">
      <c r="A199" s="7" t="inlineStr">
        <is>
          <t>NFR-D2</t>
        </is>
      </c>
      <c r="B199" s="7" t="inlineStr">
        <is>
          <t>Non-functional (detailed)</t>
        </is>
      </c>
      <c r="C199" s="7" t="inlineStr">
        <is>
          <t>Cross-cutting</t>
        </is>
      </c>
      <c r="D199" s="8" t="inlineStr">
        <is>
          <t>Remote load after navigating to #/rewards ≤ 500 ms locally (measured ~36 ms client-side nav, ~275 ms cold)</t>
        </is>
      </c>
      <c r="E199" s="8" t="inlineStr">
        <is>
          <t>Built &amp; tested</t>
        </is>
      </c>
      <c r="F199" s="8" t="inlineStr">
        <is>
          <t>Must</t>
        </is>
      </c>
      <c r="G199" s="8" t="inlineStr">
        <is>
          <t>Mansi</t>
        </is>
      </c>
      <c r="H199" s="8" t="inlineStr"/>
      <c r="I199" s="8" t="inlineStr"/>
      <c r="J199" s="7" t="inlineStr">
        <is>
          <t>LLRD › 6. Detailed non-functional requirements</t>
        </is>
      </c>
    </row>
    <row r="200">
      <c r="A200" s="7" t="inlineStr">
        <is>
          <t>NFR-D3</t>
        </is>
      </c>
      <c r="B200" s="7" t="inlineStr">
        <is>
          <t>Non-functional (detailed)</t>
        </is>
      </c>
      <c r="C200" s="7" t="inlineStr">
        <is>
          <t>Cross-cutting</t>
        </is>
      </c>
      <c r="D200" s="8" t="inlineStr">
        <is>
          <t>Dashboard issues ≤ 1 BFF read per window per 30 s</t>
        </is>
      </c>
      <c r="E200" s="8" t="inlineStr">
        <is>
          <t>Built &amp; tested</t>
        </is>
      </c>
      <c r="F200" s="8" t="inlineStr">
        <is>
          <t>Must</t>
        </is>
      </c>
      <c r="G200" s="8" t="inlineStr">
        <is>
          <t>Mansi</t>
        </is>
      </c>
      <c r="H200" s="8" t="inlineStr"/>
      <c r="I200" s="8" t="inlineStr"/>
      <c r="J200" s="7" t="inlineStr">
        <is>
          <t>LLRD › 6. Detailed non-functional requirements</t>
        </is>
      </c>
    </row>
    <row r="201">
      <c r="A201" s="7" t="inlineStr">
        <is>
          <t>NFR-D4</t>
        </is>
      </c>
      <c r="B201" s="7" t="inlineStr">
        <is>
          <t>Non-functional (detailed)</t>
        </is>
      </c>
      <c r="C201" s="7" t="inlineStr">
        <is>
          <t>Cross-cutting</t>
        </is>
      </c>
      <c r="D201" s="8" t="inlineStr">
        <is>
          <t>No horizontal scroll at 375 px width</t>
        </is>
      </c>
      <c r="E201" s="8" t="inlineStr">
        <is>
          <t>Built &amp; tested</t>
        </is>
      </c>
      <c r="F201" s="8" t="inlineStr">
        <is>
          <t>Must</t>
        </is>
      </c>
      <c r="G201" s="8" t="inlineStr">
        <is>
          <t>Mansi</t>
        </is>
      </c>
      <c r="H201" s="8" t="inlineStr"/>
      <c r="I201" s="8" t="inlineStr"/>
      <c r="J201" s="7" t="inlineStr">
        <is>
          <t>LLRD › 6. Detailed non-functional requirements</t>
        </is>
      </c>
    </row>
    <row r="202">
      <c r="A202" s="7" t="inlineStr">
        <is>
          <t>NFR-D5</t>
        </is>
      </c>
      <c r="B202" s="7" t="inlineStr">
        <is>
          <t>Non-functional (detailed)</t>
        </is>
      </c>
      <c r="C202" s="7" t="inlineStr">
        <is>
          <t>Cross-cutting</t>
        </is>
      </c>
      <c r="D202" s="8" t="inlineStr">
        <is>
          <t>Stats for N tasks use one activity query (no N+1)</t>
        </is>
      </c>
      <c r="E202" s="8" t="inlineStr">
        <is>
          <t>Built &amp; tested</t>
        </is>
      </c>
      <c r="F202" s="8" t="inlineStr">
        <is>
          <t>Must</t>
        </is>
      </c>
      <c r="G202" s="8" t="inlineStr">
        <is>
          <t>Mansi</t>
        </is>
      </c>
      <c r="H202" s="8" t="inlineStr"/>
      <c r="I202" s="8" t="inlineStr"/>
      <c r="J202" s="7" t="inlineStr">
        <is>
          <t>LLRD › 6. Detailed non-functional requirements</t>
        </is>
      </c>
    </row>
    <row r="203">
      <c r="A203" s="7" t="inlineStr">
        <is>
          <t>NFR-D6</t>
        </is>
      </c>
      <c r="B203" s="7" t="inlineStr">
        <is>
          <t>Non-functional (detailed)</t>
        </is>
      </c>
      <c r="C203" s="7" t="inlineStr">
        <is>
          <t>Cross-cutting</t>
        </is>
      </c>
      <c r="D203" s="8" t="inlineStr">
        <is>
          <t>Every business rule BR-R1…R30 has ≥ 1 automated test</t>
        </is>
      </c>
      <c r="E203" s="8" t="inlineStr">
        <is>
          <t>Built &amp; tested</t>
        </is>
      </c>
      <c r="F203" s="8" t="inlineStr">
        <is>
          <t>Must</t>
        </is>
      </c>
      <c r="G203" s="8" t="inlineStr">
        <is>
          <t>Mansi</t>
        </is>
      </c>
      <c r="H203" s="8" t="inlineStr"/>
      <c r="I203" s="8" t="inlineStr"/>
      <c r="J203" s="7" t="inlineStr">
        <is>
          <t>LLRD › 6. Detailed non-functional requirements</t>
        </is>
      </c>
    </row>
    <row r="204">
      <c r="A204" s="7" t="inlineStr">
        <is>
          <t>NFR-D7</t>
        </is>
      </c>
      <c r="B204" s="7" t="inlineStr">
        <is>
          <t>Non-functional (detailed)</t>
        </is>
      </c>
      <c r="C204" s="7" t="inlineStr">
        <is>
          <t>Cross-cutting</t>
        </is>
      </c>
      <c r="D204" s="8" t="inlineStr">
        <is>
          <t>Naive datetimes never reach storage</t>
        </is>
      </c>
      <c r="E204" s="8" t="inlineStr">
        <is>
          <t>Built &amp; tested</t>
        </is>
      </c>
      <c r="F204" s="8" t="inlineStr">
        <is>
          <t>Must</t>
        </is>
      </c>
      <c r="G204" s="8" t="inlineStr">
        <is>
          <t>Mansi</t>
        </is>
      </c>
      <c r="H204" s="8" t="inlineStr"/>
      <c r="I204" s="8" t="inlineStr"/>
      <c r="J204" s="7" t="inlineStr">
        <is>
          <t>LLRD › 6. Detailed non-functional requirements</t>
        </is>
      </c>
    </row>
    <row r="205">
      <c r="A205" s="7" t="inlineStr">
        <is>
          <t>NFR-D8</t>
        </is>
      </c>
      <c r="B205" s="7" t="inlineStr">
        <is>
          <t>Non-functional (detailed)</t>
        </is>
      </c>
      <c r="C205" s="7" t="inlineStr">
        <is>
          <t>Cross-cutting</t>
        </is>
      </c>
      <c r="D205" s="8" t="inlineStr">
        <is>
          <t>No schema change may delete or rewrite existing rows except as specified (LLR-4.18); every migration has an upgrade test run against a copy of a pre-migration database</t>
        </is>
      </c>
      <c r="E205" s="8" t="inlineStr">
        <is>
          <t>Built &amp; tested</t>
        </is>
      </c>
      <c r="F205" s="8" t="inlineStr">
        <is>
          <t>Must</t>
        </is>
      </c>
      <c r="G205" s="8" t="inlineStr">
        <is>
          <t>Mansi</t>
        </is>
      </c>
      <c r="H205" s="8" t="inlineStr"/>
      <c r="I205" s="8" t="inlineStr"/>
      <c r="J205" s="7" t="inlineStr">
        <is>
          <t>LLRD › 6. Detailed non-functional requirements</t>
        </is>
      </c>
    </row>
    <row r="206">
      <c r="A206" s="7" t="inlineStr">
        <is>
          <t>NFR-D9</t>
        </is>
      </c>
      <c r="B206" s="7" t="inlineStr">
        <is>
          <t>Non-functional (detailed)</t>
        </is>
      </c>
      <c r="C206" s="7" t="inlineStr">
        <is>
          <t>Cross-cutting</t>
        </is>
      </c>
      <c r="D206" s="8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E206" s="8" t="inlineStr">
        <is>
          <t>Next</t>
        </is>
      </c>
      <c r="F206" s="8" t="inlineStr">
        <is>
          <t>Must</t>
        </is>
      </c>
      <c r="G206" s="8" t="inlineStr">
        <is>
          <t>Mansi</t>
        </is>
      </c>
      <c r="H206" s="8" t="inlineStr"/>
      <c r="I206" s="8" t="inlineStr"/>
      <c r="J206" s="7" t="inlineStr">
        <is>
          <t>LLRD › 6. Detailed non-functional requirements</t>
        </is>
      </c>
    </row>
    <row r="207">
      <c r="A207" s="7" t="inlineStr">
        <is>
          <t>NFR-D10</t>
        </is>
      </c>
      <c r="B207" s="7" t="inlineStr">
        <is>
          <t>Non-functional (detailed)</t>
        </is>
      </c>
      <c r="C207" s="7" t="inlineStr">
        <is>
          <t>Cross-cutting</t>
        </is>
      </c>
      <c r="D207" s="8" t="inlineStr">
        <is>
          <t>Search over notes, contacts and files returns in ≤ 300 ms for 5,000 items</t>
        </is>
      </c>
      <c r="E207" s="8" t="inlineStr">
        <is>
          <t>Next</t>
        </is>
      </c>
      <c r="F207" s="8" t="inlineStr">
        <is>
          <t>Must</t>
        </is>
      </c>
      <c r="G207" s="8" t="inlineStr">
        <is>
          <t>Mansi</t>
        </is>
      </c>
      <c r="H207" s="8" t="inlineStr"/>
      <c r="I207" s="8" t="inlineStr"/>
      <c r="J207" s="7" t="inlineStr">
        <is>
          <t>LLRD › 6. Detailed non-functional requirements</t>
        </is>
      </c>
    </row>
    <row r="208">
      <c r="A208" s="7" t="inlineStr">
        <is>
          <t>NFR-D11</t>
        </is>
      </c>
      <c r="B208" s="7" t="inlineStr">
        <is>
          <t>Non-functional (detailed)</t>
        </is>
      </c>
      <c r="C208" s="7" t="inlineStr">
        <is>
          <t>Cross-cutting</t>
        </is>
      </c>
      <c r="D208" s="8" t="inlineStr">
        <is>
          <t>Every read endpoint has a test that a silent task leaves no trace (item, count or aggregate) in its response without the passcode</t>
        </is>
      </c>
      <c r="E208" s="8" t="inlineStr">
        <is>
          <t>Next</t>
        </is>
      </c>
      <c r="F208" s="8" t="inlineStr">
        <is>
          <t>Must</t>
        </is>
      </c>
      <c r="G208" s="8" t="inlineStr">
        <is>
          <t>Mansi</t>
        </is>
      </c>
      <c r="H208" s="8" t="inlineStr"/>
      <c r="I208" s="8" t="inlineStr"/>
      <c r="J208" s="7" t="inlineStr">
        <is>
          <t>LLRD › 6. Detailed non-functional requirements</t>
        </is>
      </c>
    </row>
  </sheetData>
  <autoFilter ref="A4:J208"/>
  <dataValidations count="2">
    <dataValidation sqref="E5:E408" showDropDown="0" showInputMessage="0" showErrorMessage="0" allowBlank="1" type="list">
      <formula1>"Built &amp; tested,Built (manual test),Planned,Next,Out of scope"</formula1>
    </dataValidation>
    <dataValidation sqref="F5:F408" showDropDown="0" showInputMessage="0" showErrorMessage="0" allowBlank="1" type="list">
      <formula1>"Must,Should,Could,Won't (now)"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6" customWidth="1" min="4" max="4"/>
    <col width="16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Traceability by epic</t>
        </is>
      </c>
    </row>
    <row r="2">
      <c r="A2" s="5" t="inlineStr">
        <is>
          <t>Counts are live formulas over the Requirements Register; change a status there and this updates.</t>
        </is>
      </c>
    </row>
    <row r="4">
      <c r="A4" s="6" t="inlineStr">
        <is>
          <t>Epic</t>
        </is>
      </c>
      <c r="B4" s="6" t="inlineStr">
        <is>
          <t>Title</t>
        </is>
      </c>
      <c r="C4" s="6" t="inlineStr">
        <is>
          <t>LLRs + rules</t>
        </is>
      </c>
      <c r="D4" s="6" t="inlineStr">
        <is>
          <t>Built &amp; tested</t>
        </is>
      </c>
      <c r="E4" s="6" t="inlineStr">
        <is>
          <t>Built (manual)</t>
        </is>
      </c>
      <c r="F4" s="6" t="inlineStr">
        <is>
          <t>Next</t>
        </is>
      </c>
      <c r="G4" s="6" t="inlineStr">
        <is>
          <t>Planned</t>
        </is>
      </c>
      <c r="H4" s="6" t="inlineStr">
        <is>
          <t>% built</t>
        </is>
      </c>
    </row>
    <row r="5">
      <c r="A5" s="7" t="inlineStr">
        <is>
          <t>HLR-1</t>
        </is>
      </c>
      <c r="B5" s="7">
        <f>IFERROR(INDEX('Requirements Register'!$D$5:$D$408,MATCH(A5,'Requirements Register'!$A$5:$A$408,0)),"")</f>
        <v/>
      </c>
      <c r="C5" s="7">
        <f>COUNTIF('Requirements Register'!$C$5:$C$408,A5)</f>
        <v/>
      </c>
      <c r="D5" s="7">
        <f>COUNTIFS('Requirements Register'!$C$5:$C$408,A5,'Requirements Register'!$E$5:$E$408,"Built &amp; tested")</f>
        <v/>
      </c>
      <c r="E5" s="7">
        <f>COUNTIFS('Requirements Register'!$C$5:$C$408,A5,'Requirements Register'!$E$5:$E$408,"Built (manual test)")</f>
        <v/>
      </c>
      <c r="F5" s="7">
        <f>COUNTIFS('Requirements Register'!$C$5:$C$408,A5,'Requirements Register'!$E$5:$E$408,"Next")</f>
        <v/>
      </c>
      <c r="G5" s="7">
        <f>COUNTIFS('Requirements Register'!$C$5:$C$408,A5,'Requirements Register'!$E$5:$E$408,"Planned")</f>
        <v/>
      </c>
      <c r="H5" s="9">
        <f>IF(C5=0,"-",(D5+E5)/C5)</f>
        <v/>
      </c>
    </row>
    <row r="6">
      <c r="A6" s="7" t="inlineStr">
        <is>
          <t>HLR-2</t>
        </is>
      </c>
      <c r="B6" s="7">
        <f>IFERROR(INDEX('Requirements Register'!$D$5:$D$408,MATCH(A6,'Requirements Register'!$A$5:$A$408,0)),"")</f>
        <v/>
      </c>
      <c r="C6" s="7">
        <f>COUNTIF('Requirements Register'!$C$5:$C$408,A6)</f>
        <v/>
      </c>
      <c r="D6" s="7">
        <f>COUNTIFS('Requirements Register'!$C$5:$C$408,A6,'Requirements Register'!$E$5:$E$408,"Built &amp; tested")</f>
        <v/>
      </c>
      <c r="E6" s="7">
        <f>COUNTIFS('Requirements Register'!$C$5:$C$408,A6,'Requirements Register'!$E$5:$E$408,"Built (manual test)")</f>
        <v/>
      </c>
      <c r="F6" s="7">
        <f>COUNTIFS('Requirements Register'!$C$5:$C$408,A6,'Requirements Register'!$E$5:$E$408,"Next")</f>
        <v/>
      </c>
      <c r="G6" s="7">
        <f>COUNTIFS('Requirements Register'!$C$5:$C$408,A6,'Requirements Register'!$E$5:$E$408,"Planned")</f>
        <v/>
      </c>
      <c r="H6" s="9">
        <f>IF(C6=0,"-",(D6+E6)/C6)</f>
        <v/>
      </c>
    </row>
    <row r="7">
      <c r="A7" s="7" t="inlineStr">
        <is>
          <t>HLR-3</t>
        </is>
      </c>
      <c r="B7" s="7">
        <f>IFERROR(INDEX('Requirements Register'!$D$5:$D$408,MATCH(A7,'Requirements Register'!$A$5:$A$408,0)),"")</f>
        <v/>
      </c>
      <c r="C7" s="7">
        <f>COUNTIF('Requirements Register'!$C$5:$C$408,A7)</f>
        <v/>
      </c>
      <c r="D7" s="7">
        <f>COUNTIFS('Requirements Register'!$C$5:$C$408,A7,'Requirements Register'!$E$5:$E$408,"Built &amp; tested")</f>
        <v/>
      </c>
      <c r="E7" s="7">
        <f>COUNTIFS('Requirements Register'!$C$5:$C$408,A7,'Requirements Register'!$E$5:$E$408,"Built (manual test)")</f>
        <v/>
      </c>
      <c r="F7" s="7">
        <f>COUNTIFS('Requirements Register'!$C$5:$C$408,A7,'Requirements Register'!$E$5:$E$408,"Next")</f>
        <v/>
      </c>
      <c r="G7" s="7">
        <f>COUNTIFS('Requirements Register'!$C$5:$C$408,A7,'Requirements Register'!$E$5:$E$408,"Planned")</f>
        <v/>
      </c>
      <c r="H7" s="9">
        <f>IF(C7=0,"-",(D7+E7)/C7)</f>
        <v/>
      </c>
    </row>
    <row r="8">
      <c r="A8" s="7" t="inlineStr">
        <is>
          <t>HLR-4</t>
        </is>
      </c>
      <c r="B8" s="7">
        <f>IFERROR(INDEX('Requirements Register'!$D$5:$D$408,MATCH(A8,'Requirements Register'!$A$5:$A$408,0)),"")</f>
        <v/>
      </c>
      <c r="C8" s="7">
        <f>COUNTIF('Requirements Register'!$C$5:$C$408,A8)</f>
        <v/>
      </c>
      <c r="D8" s="7">
        <f>COUNTIFS('Requirements Register'!$C$5:$C$408,A8,'Requirements Register'!$E$5:$E$408,"Built &amp; tested")</f>
        <v/>
      </c>
      <c r="E8" s="7">
        <f>COUNTIFS('Requirements Register'!$C$5:$C$408,A8,'Requirements Register'!$E$5:$E$408,"Built (manual test)")</f>
        <v/>
      </c>
      <c r="F8" s="7">
        <f>COUNTIFS('Requirements Register'!$C$5:$C$408,A8,'Requirements Register'!$E$5:$E$408,"Next")</f>
        <v/>
      </c>
      <c r="G8" s="7">
        <f>COUNTIFS('Requirements Register'!$C$5:$C$408,A8,'Requirements Register'!$E$5:$E$408,"Planned")</f>
        <v/>
      </c>
      <c r="H8" s="9">
        <f>IF(C8=0,"-",(D8+E8)/C8)</f>
        <v/>
      </c>
    </row>
    <row r="9">
      <c r="A9" s="7" t="inlineStr">
        <is>
          <t>HLR-5</t>
        </is>
      </c>
      <c r="B9" s="7">
        <f>IFERROR(INDEX('Requirements Register'!$D$5:$D$408,MATCH(A9,'Requirements Register'!$A$5:$A$408,0)),"")</f>
        <v/>
      </c>
      <c r="C9" s="7">
        <f>COUNTIF('Requirements Register'!$C$5:$C$408,A9)</f>
        <v/>
      </c>
      <c r="D9" s="7">
        <f>COUNTIFS('Requirements Register'!$C$5:$C$408,A9,'Requirements Register'!$E$5:$E$408,"Built &amp; tested")</f>
        <v/>
      </c>
      <c r="E9" s="7">
        <f>COUNTIFS('Requirements Register'!$C$5:$C$408,A9,'Requirements Register'!$E$5:$E$408,"Built (manual test)")</f>
        <v/>
      </c>
      <c r="F9" s="7">
        <f>COUNTIFS('Requirements Register'!$C$5:$C$408,A9,'Requirements Register'!$E$5:$E$408,"Next")</f>
        <v/>
      </c>
      <c r="G9" s="7">
        <f>COUNTIFS('Requirements Register'!$C$5:$C$408,A9,'Requirements Register'!$E$5:$E$408,"Planned")</f>
        <v/>
      </c>
      <c r="H9" s="9">
        <f>IF(C9=0,"-",(D9+E9)/C9)</f>
        <v/>
      </c>
    </row>
    <row r="10">
      <c r="A10" s="7" t="inlineStr">
        <is>
          <t>HLR-6</t>
        </is>
      </c>
      <c r="B10" s="7">
        <f>IFERROR(INDEX('Requirements Register'!$D$5:$D$408,MATCH(A10,'Requirements Register'!$A$5:$A$408,0)),"")</f>
        <v/>
      </c>
      <c r="C10" s="7">
        <f>COUNTIF('Requirements Register'!$C$5:$C$408,A10)</f>
        <v/>
      </c>
      <c r="D10" s="7">
        <f>COUNTIFS('Requirements Register'!$C$5:$C$408,A10,'Requirements Register'!$E$5:$E$408,"Built &amp; tested")</f>
        <v/>
      </c>
      <c r="E10" s="7">
        <f>COUNTIFS('Requirements Register'!$C$5:$C$408,A10,'Requirements Register'!$E$5:$E$408,"Built (manual test)")</f>
        <v/>
      </c>
      <c r="F10" s="7">
        <f>COUNTIFS('Requirements Register'!$C$5:$C$408,A10,'Requirements Register'!$E$5:$E$408,"Next")</f>
        <v/>
      </c>
      <c r="G10" s="7">
        <f>COUNTIFS('Requirements Register'!$C$5:$C$408,A10,'Requirements Register'!$E$5:$E$408,"Planned")</f>
        <v/>
      </c>
      <c r="H10" s="9">
        <f>IF(C10=0,"-",(D10+E10)/C10)</f>
        <v/>
      </c>
    </row>
    <row r="11">
      <c r="A11" s="7" t="inlineStr">
        <is>
          <t>HLR-7</t>
        </is>
      </c>
      <c r="B11" s="7">
        <f>IFERROR(INDEX('Requirements Register'!$D$5:$D$408,MATCH(A11,'Requirements Register'!$A$5:$A$408,0)),"")</f>
        <v/>
      </c>
      <c r="C11" s="7">
        <f>COUNTIF('Requirements Register'!$C$5:$C$408,A11)</f>
        <v/>
      </c>
      <c r="D11" s="7">
        <f>COUNTIFS('Requirements Register'!$C$5:$C$408,A11,'Requirements Register'!$E$5:$E$408,"Built &amp; tested")</f>
        <v/>
      </c>
      <c r="E11" s="7">
        <f>COUNTIFS('Requirements Register'!$C$5:$C$408,A11,'Requirements Register'!$E$5:$E$408,"Built (manual test)")</f>
        <v/>
      </c>
      <c r="F11" s="7">
        <f>COUNTIFS('Requirements Register'!$C$5:$C$408,A11,'Requirements Register'!$E$5:$E$408,"Next")</f>
        <v/>
      </c>
      <c r="G11" s="7">
        <f>COUNTIFS('Requirements Register'!$C$5:$C$408,A11,'Requirements Register'!$E$5:$E$408,"Planned")</f>
        <v/>
      </c>
      <c r="H11" s="9">
        <f>IF(C11=0,"-",(D11+E11)/C11)</f>
        <v/>
      </c>
    </row>
    <row r="12">
      <c r="A12" s="7" t="inlineStr">
        <is>
          <t>HLR-8</t>
        </is>
      </c>
      <c r="B12" s="7">
        <f>IFERROR(INDEX('Requirements Register'!$D$5:$D$408,MATCH(A12,'Requirements Register'!$A$5:$A$408,0)),"")</f>
        <v/>
      </c>
      <c r="C12" s="7">
        <f>COUNTIF('Requirements Register'!$C$5:$C$408,A12)</f>
        <v/>
      </c>
      <c r="D12" s="7">
        <f>COUNTIFS('Requirements Register'!$C$5:$C$408,A12,'Requirements Register'!$E$5:$E$408,"Built &amp; tested")</f>
        <v/>
      </c>
      <c r="E12" s="7">
        <f>COUNTIFS('Requirements Register'!$C$5:$C$408,A12,'Requirements Register'!$E$5:$E$408,"Built (manual test)")</f>
        <v/>
      </c>
      <c r="F12" s="7">
        <f>COUNTIFS('Requirements Register'!$C$5:$C$408,A12,'Requirements Register'!$E$5:$E$408,"Next")</f>
        <v/>
      </c>
      <c r="G12" s="7">
        <f>COUNTIFS('Requirements Register'!$C$5:$C$408,A12,'Requirements Register'!$E$5:$E$408,"Planned")</f>
        <v/>
      </c>
      <c r="H12" s="9">
        <f>IF(C12=0,"-",(D12+E12)/C12)</f>
        <v/>
      </c>
    </row>
    <row r="13">
      <c r="A13" s="7" t="inlineStr">
        <is>
          <t>HLR-9</t>
        </is>
      </c>
      <c r="B13" s="7">
        <f>IFERROR(INDEX('Requirements Register'!$D$5:$D$408,MATCH(A13,'Requirements Register'!$A$5:$A$408,0)),"")</f>
        <v/>
      </c>
      <c r="C13" s="7">
        <f>COUNTIF('Requirements Register'!$C$5:$C$408,A13)</f>
        <v/>
      </c>
      <c r="D13" s="7">
        <f>COUNTIFS('Requirements Register'!$C$5:$C$408,A13,'Requirements Register'!$E$5:$E$408,"Built &amp; tested")</f>
        <v/>
      </c>
      <c r="E13" s="7">
        <f>COUNTIFS('Requirements Register'!$C$5:$C$408,A13,'Requirements Register'!$E$5:$E$408,"Built (manual test)")</f>
        <v/>
      </c>
      <c r="F13" s="7">
        <f>COUNTIFS('Requirements Register'!$C$5:$C$408,A13,'Requirements Register'!$E$5:$E$408,"Next")</f>
        <v/>
      </c>
      <c r="G13" s="7">
        <f>COUNTIFS('Requirements Register'!$C$5:$C$408,A13,'Requirements Register'!$E$5:$E$408,"Planned")</f>
        <v/>
      </c>
      <c r="H13" s="9">
        <f>IF(C13=0,"-",(D13+E13)/C13)</f>
        <v/>
      </c>
    </row>
    <row r="14">
      <c r="A14" s="7" t="inlineStr">
        <is>
          <t>HLR-10</t>
        </is>
      </c>
      <c r="B14" s="7">
        <f>IFERROR(INDEX('Requirements Register'!$D$5:$D$408,MATCH(A14,'Requirements Register'!$A$5:$A$408,0)),"")</f>
        <v/>
      </c>
      <c r="C14" s="7">
        <f>COUNTIF('Requirements Register'!$C$5:$C$408,A14)</f>
        <v/>
      </c>
      <c r="D14" s="7">
        <f>COUNTIFS('Requirements Register'!$C$5:$C$408,A14,'Requirements Register'!$E$5:$E$408,"Built &amp; tested")</f>
        <v/>
      </c>
      <c r="E14" s="7">
        <f>COUNTIFS('Requirements Register'!$C$5:$C$408,A14,'Requirements Register'!$E$5:$E$408,"Built (manual test)")</f>
        <v/>
      </c>
      <c r="F14" s="7">
        <f>COUNTIFS('Requirements Register'!$C$5:$C$408,A14,'Requirements Register'!$E$5:$E$408,"Next")</f>
        <v/>
      </c>
      <c r="G14" s="7">
        <f>COUNTIFS('Requirements Register'!$C$5:$C$408,A14,'Requirements Register'!$E$5:$E$408,"Planned")</f>
        <v/>
      </c>
      <c r="H14" s="9">
        <f>IF(C14=0,"-",(D14+E14)/C14)</f>
        <v/>
      </c>
    </row>
    <row r="15">
      <c r="A15" s="7" t="inlineStr">
        <is>
          <t>HLR-11</t>
        </is>
      </c>
      <c r="B15" s="7">
        <f>IFERROR(INDEX('Requirements Register'!$D$5:$D$408,MATCH(A15,'Requirements Register'!$A$5:$A$408,0)),"")</f>
        <v/>
      </c>
      <c r="C15" s="7">
        <f>COUNTIF('Requirements Register'!$C$5:$C$408,A15)</f>
        <v/>
      </c>
      <c r="D15" s="7">
        <f>COUNTIFS('Requirements Register'!$C$5:$C$408,A15,'Requirements Register'!$E$5:$E$408,"Built &amp; tested")</f>
        <v/>
      </c>
      <c r="E15" s="7">
        <f>COUNTIFS('Requirements Register'!$C$5:$C$408,A15,'Requirements Register'!$E$5:$E$408,"Built (manual test)")</f>
        <v/>
      </c>
      <c r="F15" s="7">
        <f>COUNTIFS('Requirements Register'!$C$5:$C$408,A15,'Requirements Register'!$E$5:$E$408,"Next")</f>
        <v/>
      </c>
      <c r="G15" s="7">
        <f>COUNTIFS('Requirements Register'!$C$5:$C$408,A15,'Requirements Register'!$E$5:$E$408,"Planned")</f>
        <v/>
      </c>
      <c r="H15" s="9">
        <f>IF(C15=0,"-",(D15+E15)/C15)</f>
        <v/>
      </c>
    </row>
    <row r="16">
      <c r="A16" s="7" t="inlineStr">
        <is>
          <t>HLR-12</t>
        </is>
      </c>
      <c r="B16" s="7">
        <f>IFERROR(INDEX('Requirements Register'!$D$5:$D$408,MATCH(A16,'Requirements Register'!$A$5:$A$408,0)),"")</f>
        <v/>
      </c>
      <c r="C16" s="7">
        <f>COUNTIF('Requirements Register'!$C$5:$C$408,A16)</f>
        <v/>
      </c>
      <c r="D16" s="7">
        <f>COUNTIFS('Requirements Register'!$C$5:$C$408,A16,'Requirements Register'!$E$5:$E$408,"Built &amp; tested")</f>
        <v/>
      </c>
      <c r="E16" s="7">
        <f>COUNTIFS('Requirements Register'!$C$5:$C$408,A16,'Requirements Register'!$E$5:$E$408,"Built (manual test)")</f>
        <v/>
      </c>
      <c r="F16" s="7">
        <f>COUNTIFS('Requirements Register'!$C$5:$C$408,A16,'Requirements Register'!$E$5:$E$408,"Next")</f>
        <v/>
      </c>
      <c r="G16" s="7">
        <f>COUNTIFS('Requirements Register'!$C$5:$C$408,A16,'Requirements Register'!$E$5:$E$408,"Planned")</f>
        <v/>
      </c>
      <c r="H16" s="9">
        <f>IF(C16=0,"-",(D16+E16)/C16)</f>
        <v/>
      </c>
    </row>
    <row r="17">
      <c r="A17" s="7" t="inlineStr">
        <is>
          <t>HLR-13</t>
        </is>
      </c>
      <c r="B17" s="7">
        <f>IFERROR(INDEX('Requirements Register'!$D$5:$D$408,MATCH(A17,'Requirements Register'!$A$5:$A$408,0)),"")</f>
        <v/>
      </c>
      <c r="C17" s="7">
        <f>COUNTIF('Requirements Register'!$C$5:$C$408,A17)</f>
        <v/>
      </c>
      <c r="D17" s="7">
        <f>COUNTIFS('Requirements Register'!$C$5:$C$408,A17,'Requirements Register'!$E$5:$E$408,"Built &amp; tested")</f>
        <v/>
      </c>
      <c r="E17" s="7">
        <f>COUNTIFS('Requirements Register'!$C$5:$C$408,A17,'Requirements Register'!$E$5:$E$408,"Built (manual test)")</f>
        <v/>
      </c>
      <c r="F17" s="7">
        <f>COUNTIFS('Requirements Register'!$C$5:$C$408,A17,'Requirements Register'!$E$5:$E$408,"Next")</f>
        <v/>
      </c>
      <c r="G17" s="7">
        <f>COUNTIFS('Requirements Register'!$C$5:$C$408,A17,'Requirements Register'!$E$5:$E$408,"Planned")</f>
        <v/>
      </c>
      <c r="H17" s="9">
        <f>IF(C17=0,"-",(D17+E17)/C17)</f>
        <v/>
      </c>
    </row>
    <row r="18">
      <c r="A18" s="10" t="inlineStr">
        <is>
          <t>Total</t>
        </is>
      </c>
      <c r="B18" s="10" t="n"/>
      <c r="C18" s="10">
        <f>SUM(C5:C17)</f>
        <v/>
      </c>
      <c r="D18" s="10">
        <f>SUM(D5:D17)</f>
        <v/>
      </c>
      <c r="E18" s="10">
        <f>SUM(E5:E17)</f>
        <v/>
      </c>
      <c r="F18" s="10">
        <f>SUM(F5:F17)</f>
        <v/>
      </c>
      <c r="G18" s="10">
        <f>SUM(G5:G17)</f>
        <v/>
      </c>
      <c r="H18" s="11">
        <f>IF(C18=0,"-",(D18+E18)/C18)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1. Executive summary</t>
        </is>
      </c>
    </row>
    <row r="3">
      <c r="A3" s="12" t="inlineStr">
        <is>
          <t>Home, career and fun tasks are tracked informally today. Rewards for keeping up are ad hoc, and there's no visibility of consistency. An earlier in-site "Reward Goals" feature existed, but it was goal-centric, tightly coupled to the main site and its Neo4j backend, and not reusable by other clients.</t>
        </is>
      </c>
    </row>
    <row r="4"/>
    <row r="5">
      <c r="A5" s="12" t="inlineStr">
        <is>
          <t>This capstone replaces it with a Rewards microfrontend:</t>
        </is>
      </c>
    </row>
    <row r="6"/>
    <row r="7">
      <c r="A7" s="7" t="inlineStr">
        <is>
          <t>• a React module loaded into the site at runtime;</t>
        </is>
      </c>
    </row>
    <row r="8">
      <c r="A8" s="7" t="inlineStr">
        <is>
          <t>• a Backend-for-Frontend that serves the web UI, an analytics dashboard and a future Android app;</t>
        </is>
      </c>
    </row>
    <row r="9">
      <c r="A9" s="7" t="inlineStr">
        <is>
          <t>• integration services (AI photo → task suggestions, reminders) behind resilient adapters.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2. Discovery</t>
        </is>
      </c>
    </row>
    <row r="3">
      <c r="A3" s="13" t="inlineStr">
        <is>
          <t>2.1 Problem statement</t>
        </is>
      </c>
    </row>
    <row r="4">
      <c r="A4" s="12" t="inlineStr">
        <is>
          <t>*As a busy working parent, I want to turn the upkeep of each part of my home, career and leisure into small recurring tasks, see my consistency, and reward myself when I keep it up, without the tool becoming another chore.*</t>
        </is>
      </c>
    </row>
    <row r="5"/>
    <row r="6">
      <c r="A6" s="13" t="inlineStr">
        <is>
          <t>2.2 Personas</t>
        </is>
      </c>
    </row>
    <row r="7">
      <c r="A7" s="6" t="inlineStr">
        <is>
          <t>Persona</t>
        </is>
      </c>
      <c r="B7" s="6" t="inlineStr">
        <is>
          <t>Context</t>
        </is>
      </c>
      <c r="C7" s="6" t="inlineStr">
        <is>
          <t>Needs</t>
        </is>
      </c>
      <c r="D7" s="6" t="inlineStr">
        <is>
          <t>Frustrations</t>
        </is>
      </c>
    </row>
    <row r="8">
      <c r="A8" s="7" t="inlineStr">
        <is>
          <t>Mansi, primary user</t>
        </is>
      </c>
      <c r="B8" s="7" t="inlineStr">
        <is>
          <t>Working parent; manages household areas (kitchen, laundry, kids' toys), career learning, hobbies</t>
        </is>
      </c>
      <c r="C8" s="7" t="inlineStr">
        <is>
          <t>Quick capture on a phone, see what's due, feel progress, self-set treats</t>
        </is>
      </c>
      <c r="D8" s="7" t="inlineStr">
        <is>
          <t>Lists get stale; no sense of streaks; motivation fades mid-week</t>
        </is>
      </c>
    </row>
    <row r="9">
      <c r="A9" s="7" t="inlineStr">
        <is>
          <t>Mansi, reviewer (weekly)</t>
        </is>
      </c>
      <c r="B9" s="7" t="inlineStr">
        <is>
          <t>Sunday reflection</t>
        </is>
      </c>
      <c r="C9" s="7" t="inlineStr">
        <is>
          <t>Where did effort go? Which streaks are alive? Which rewards are close?</t>
        </is>
      </c>
      <c r="D9" s="7" t="inlineStr">
        <is>
          <t>No aggregate view; can't see neglected areas</t>
        </is>
      </c>
    </row>
    <row r="10">
      <c r="A10" s="7" t="inlineStr">
        <is>
          <t>Capstone evaluator</t>
        </is>
      </c>
      <c r="B10" s="7" t="inlineStr">
        <is>
          <t>Assesses architecture</t>
        </is>
      </c>
      <c r="C10" s="7" t="inlineStr">
        <is>
          <t>Clear demonstration of MFE, BFF, integration and data-app principles</t>
        </is>
      </c>
      <c r="D10" s="7" t="inlineStr">
        <is>
          <t>Monoliths that "claim" microfrontends</t>
        </is>
      </c>
    </row>
    <row r="11">
      <c r="A11" s="7" t="inlineStr">
        <is>
          <t>Future: family member (out of scope)</t>
        </is>
      </c>
      <c r="B11" s="7" t="inlineStr">
        <is>
          <t>Shares household areas</t>
        </is>
      </c>
      <c r="C11" s="7" t="inlineStr">
        <is>
          <t>Assigned tasks, own rewards</t>
        </is>
      </c>
      <c r="D11" s="7" t="inlineStr">
        <is>
          <t>—</t>
        </is>
      </c>
    </row>
    <row r="12"/>
    <row r="13">
      <c r="A13" s="13" t="inlineStr">
        <is>
          <t>2.3 Discovery findings</t>
        </is>
      </c>
    </row>
    <row r="14">
      <c r="A14" s="6" t="inlineStr">
        <is>
          <t>#</t>
        </is>
      </c>
      <c r="B14" s="6" t="inlineStr">
        <is>
          <t>Source</t>
        </is>
      </c>
      <c r="C14" s="6" t="inlineStr">
        <is>
          <t>Finding</t>
        </is>
      </c>
      <c r="D14" s="6" t="inlineStr">
        <is>
          <t>Implication</t>
        </is>
      </c>
    </row>
    <row r="15">
      <c r="A15" s="7" t="inlineStr">
        <is>
          <t>D1</t>
        </is>
      </c>
      <c r="B15" s="7" t="inlineStr">
        <is>
          <t>Codebase audit (main)</t>
        </is>
      </c>
      <c r="C15" s="7" t="inlineStr">
        <is>
          <t>An existing in-site Rewards feature: goals with target days, daily logs, milestones, ₹-valued rewards, 6 fixed categories</t>
        </is>
      </c>
      <c r="D15" s="7" t="inlineStr">
        <is>
          <t>Validates the need; its goal model doesn't fit recurring upkeep of physical areas</t>
        </is>
      </c>
    </row>
    <row r="16">
      <c r="A16" s="7" t="inlineStr">
        <is>
          <t>D2</t>
        </is>
      </c>
      <c r="B16" s="7" t="inlineStr">
        <is>
          <t>Codebase audit</t>
        </is>
      </c>
      <c r="C16" s="7" t="inlineStr">
        <is>
          <t>Old feature bundled in the host, dark inline styles, Express + Neo4j API shared with the Weekend Picks backend</t>
        </is>
      </c>
      <c r="D16" s="7" t="inlineStr">
        <is>
          <t>Can't deploy, scale or fail independently; heavy infrastructure for simple relational data</t>
        </is>
      </c>
    </row>
    <row r="17">
      <c r="A17" s="7" t="inlineStr">
        <is>
          <t>D3</t>
        </is>
      </c>
      <c r="B17" s="7" t="inlineStr">
        <is>
          <t>Codebase audit</t>
        </is>
      </c>
      <c r="C17" s="7" t="inlineStr">
        <is>
          <t>Passcode gate built but disabled; no auth in practice</t>
        </is>
      </c>
      <c r="D17" s="7" t="inlineStr">
        <is>
          <t>Demo-level token is acceptable for MVP; real auth later</t>
        </is>
      </c>
    </row>
    <row r="18">
      <c r="A18" s="7" t="inlineStr">
        <is>
          <t>D4</t>
        </is>
      </c>
      <c r="B18" s="7" t="inlineStr">
        <is>
          <t>Branch audit</t>
        </is>
      </c>
      <c r="C18" s="7" t="inlineStr">
        <is>
          <t>An abandoned Next.js "reward-system" scaffold (React 18) that couldn't be federated into the Vite/React 19 host</t>
        </is>
      </c>
      <c r="D18" s="7" t="inlineStr">
        <is>
          <t>Choose Vite-native federation; keep React versions aligned</t>
        </is>
      </c>
    </row>
    <row r="19">
      <c r="A19" s="7" t="inlineStr">
        <is>
          <t>D5</t>
        </is>
      </c>
      <c r="B19" s="7" t="inlineStr">
        <is>
          <t>User interview (self)</t>
        </is>
      </c>
      <c r="C19" s="7" t="inlineStr">
        <is>
          <t>Upkeep is area-based (Kitchen, Wardrobe, Shiragi Toys) not goal-based; frequencies differ (daily vs weekly vs one-off)</t>
        </is>
      </c>
      <c r="D19" s="7" t="inlineStr">
        <is>
          <t>Tiles → areas → tasks model with per-task frequency</t>
        </is>
      </c>
    </row>
    <row r="20">
      <c r="A20" s="7" t="inlineStr">
        <is>
          <t>D6</t>
        </is>
      </c>
      <c r="B20" s="7" t="inlineStr">
        <is>
          <t>User interview</t>
        </is>
      </c>
      <c r="C20" s="7" t="inlineStr">
        <is>
          <t>Deciding *what* to do in an area is the hard part</t>
        </is>
      </c>
      <c r="D20" s="7" t="inlineStr">
        <is>
          <t>Photo of the area → AI suggests tasks (post-MVP)</t>
        </is>
      </c>
    </row>
    <row r="21">
      <c r="A21" s="7" t="inlineStr">
        <is>
          <t>D7</t>
        </is>
      </c>
      <c r="B21" s="7" t="inlineStr">
        <is>
          <t>User interview</t>
        </is>
      </c>
      <c r="C21" s="7" t="inlineStr">
        <is>
          <t>Tasks are often done and logged later</t>
        </is>
      </c>
      <c r="D21" s="7" t="inlineStr">
        <is>
          <t>Backfill completions ("yesterday")</t>
        </is>
      </c>
    </row>
    <row r="22">
      <c r="A22" s="7" t="inlineStr">
        <is>
          <t>D8</t>
        </is>
      </c>
      <c r="B22" s="7" t="inlineStr">
        <is>
          <t>User interview</t>
        </is>
      </c>
      <c r="C22" s="7" t="inlineStr">
        <is>
          <t>Wants weekly insight, not just a to-do list</t>
        </is>
      </c>
      <c r="D22" s="7" t="inlineStr">
        <is>
          <t>Separate analytics client (Streamlit)</t>
        </is>
      </c>
    </row>
    <row r="23">
      <c r="A23" s="7" t="inlineStr">
        <is>
          <t>D9</t>
        </is>
      </c>
      <c r="B23" s="7" t="inlineStr">
        <is>
          <t>Roadmap</t>
        </is>
      </c>
      <c r="C23" s="7" t="inlineStr">
        <is>
          <t>An Android app is planned</t>
        </is>
      </c>
      <c r="D23" s="7" t="inlineStr">
        <is>
          <t>API-first BFF; mobile-first UI</t>
        </is>
      </c>
    </row>
    <row r="24">
      <c r="A24" s="7" t="inlineStr">
        <is>
          <t>D11</t>
        </is>
      </c>
      <c r="B24" s="7" t="inlineStr">
        <is>
          <t>PO review of the requirements workbook (2026-09-29)</t>
        </is>
      </c>
      <c r="C24" s="7" t="inlineStr">
        <is>
          <t>Preset tiles don't fit everyone's life; the user wants to create, rename, reorder and delete tiles themselves</t>
        </is>
      </c>
      <c r="D24" s="7" t="inlineStr">
        <is>
          <t>Tiles become fully user-managed (CRUD); nothing seeded, with an optional one-click starter set (HLR-1)</t>
        </is>
      </c>
    </row>
    <row r="25">
      <c r="A25" s="7" t="inlineStr">
        <is>
          <t>D12</t>
        </is>
      </c>
      <c r="B25" s="7" t="inlineStr">
        <is>
          <t>PO review (2026-09-29)</t>
        </is>
      </c>
      <c r="C25" s="7" t="inlineStr">
        <is>
          <t>When an appliance breaks, the useful information is scattered: customer-care numbers, the last executive who visited, bills, notes (e.g. Bosch dishwasher, Kent water purifier, IFB washing machine, LG fridge, pigeon net, pest control)</t>
        </is>
      </c>
      <c r="D25" s="7" t="inlineStr">
        <is>
          <t>Tiles and areas hold notes, contacts and files, grouped by topic (HLR-10)</t>
        </is>
      </c>
    </row>
    <row r="26">
      <c r="A26" s="7" t="inlineStr">
        <is>
          <t>D13</t>
        </is>
      </c>
      <c r="B26" s="7" t="inlineStr">
        <is>
          <t>PO review (2026-09-29)</t>
        </is>
      </c>
      <c r="C26" s="7" t="inlineStr">
        <is>
          <t>Some tasks are big checkpoints (milestones), some have a deadline or a planned length in days, and some are private: they shouldn't be shown or celebrated publicly</t>
        </is>
      </c>
      <c r="D26" s="7" t="inlineStr">
        <is>
          <t>Tasks gain milestone, announce/silent, due date/time and days-to-complete; milestones can unlock rewards (HLR-11)</t>
        </is>
      </c>
    </row>
    <row r="27">
      <c r="A27" s="7" t="inlineStr">
        <is>
          <t>D14</t>
        </is>
      </c>
      <c r="B27" s="7" t="inlineStr">
        <is>
          <t>PO review (2026-09-29)</t>
        </is>
      </c>
      <c r="C27" s="7" t="inlineStr">
        <is>
          <t>Reward ideas come up at random moments (e.g. spotting "101 Hilarious Jokes" for Shiragi while browsing the library), before any rule or task exists; some rewards are for someone else (Shiragi), not for the user</t>
        </is>
      </c>
      <c r="D27" s="7" t="inlineStr">
        <is>
          <t>Rewards get an Idea stage (capture now, add a rule later, or mark bought/dropped) and a For whom label (HLR-12)</t>
        </is>
      </c>
    </row>
    <row r="28">
      <c r="A28" s="7" t="inlineStr">
        <is>
          <t>D15</t>
        </is>
      </c>
      <c r="B28" s="7" t="inlineStr">
        <is>
          <t>PO review (2026-10-02)</t>
        </is>
      </c>
      <c r="C28" s="7" t="inlineStr">
        <is>
          <t>Some parts of life have no natural sub-areas: in Career / Office / Work, things like "Connect with Amex Project - BA" are tasks, not places, so an extra area level only adds taps</t>
        </is>
      </c>
      <c r="D28" s="7" t="inlineStr">
        <is>
          <t>A tile can switch areas off and hold its tasks, rewards and notes directly (HLR-13)</t>
        </is>
      </c>
    </row>
    <row r="29">
      <c r="A29" s="7" t="inlineStr">
        <is>
          <t>D16</t>
        </is>
      </c>
      <c r="B29" s="7" t="inlineStr">
        <is>
          <t>PO review (2026-10-03)</t>
        </is>
      </c>
      <c r="C29" s="7" t="inlineStr">
        <is>
          <t>Three priority levels are too coarse: within "High" there is still a most and a least important task, and choosing a level for every task is friction</t>
        </is>
      </c>
      <c r="D29" s="7" t="inlineStr">
        <is>
          <t>Tasks are dragged into order: top = most important, bottom = least. The order replaces High/Med/Low; new tasks start at the bottom (HLR-2)</t>
        </is>
      </c>
    </row>
    <row r="30">
      <c r="A30" s="7" t="inlineStr">
        <is>
          <t>D10</t>
        </is>
      </c>
      <c r="B30" s="7" t="inlineStr">
        <is>
          <t>PO review of MVP (2026-09-28)</t>
        </is>
      </c>
      <c r="C30" s="7" t="inlineStr">
        <is>
          <t>Rewards float free of the tile/area structure: a reward can be tagged to any task anywhere, so it isn't clear which part of life a reward belongs to</t>
        </is>
      </c>
      <c r="D30" s="7" t="inlineStr">
        <is>
          <t>Rewards use the same tiles and areas as tasks, and are matched to tasks inside that scope (HLR-9)</t>
        </is>
      </c>
    </row>
    <row r="31"/>
    <row r="32">
      <c r="A32" s="13" t="inlineStr">
        <is>
          <t>2.4 Assumptions</t>
        </is>
      </c>
    </row>
    <row r="33">
      <c r="A33" s="7" t="inlineStr">
        <is>
          <t>• A1. Single user for the MVP; data is personal and low volume (&lt; 1k tasks, &lt; 50k completions).</t>
        </is>
      </c>
    </row>
    <row r="34">
      <c r="A34" s="7" t="inlineStr">
        <is>
          <t>• A2. The user's calendar is one timezone (Asia/Kolkata by default).</t>
        </is>
      </c>
    </row>
    <row r="35">
      <c r="A35" s="7" t="inlineStr">
        <is>
          <t>• A3. Rewards are self-fulfilled. There's no purchasing or payment integration.</t>
        </is>
      </c>
    </row>
    <row r="36">
      <c r="A36" s="7" t="inlineStr">
        <is>
          <t>• A4. The host site remains Vite + React 19 with hash routing.</t>
        </is>
      </c>
    </row>
    <row r="37"/>
    <row r="38">
      <c r="A38" s="13" t="inlineStr">
        <is>
          <t>2.5 Constraints</t>
        </is>
      </c>
    </row>
    <row r="39">
      <c r="A39" s="7" t="inlineStr">
        <is>
          <t>• C1. Existing Vercel deployment of the host must keep building (npm run build → dist).</t>
        </is>
      </c>
    </row>
    <row r="40">
      <c r="A40" s="7" t="inlineStr">
        <is>
          <t>• C2. Solo developer, capstone timeline; prefer managed or zero-ops components.</t>
        </is>
      </c>
    </row>
    <row r="41">
      <c r="A41" s="7" t="inlineStr">
        <is>
          <t>• C3. AI API keys must never reach the browser.</t>
        </is>
      </c>
    </row>
    <row r="42">
      <c r="A42" s="7" t="inlineStr">
        <is>
          <t>• C4. Out of scope: Android build, real auth, multi-user, other microfrontends, WhatsApp/Apify/Snowflake integrations.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zoomScale="100" workbookViewId="0">
      <selection activeCell="A1" sqref="A1"/>
    </sheetView>
  </sheetViews>
  <sheetFormatPr baseColWidth="8" defaultRowHeight="15"/>
  <cols>
    <col width="55" customWidth="1" min="1" max="1"/>
    <col width="70" customWidth="1" min="2" max="2"/>
    <col width="70" customWidth="1" min="3" max="3"/>
  </cols>
  <sheetData>
    <row r="1">
      <c r="A1" s="4" t="inlineStr">
        <is>
          <t>3. As-Is</t>
        </is>
      </c>
    </row>
    <row r="3">
      <c r="A3" s="13" t="inlineStr">
        <is>
          <t>3.1 As-Is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3.2 As-Is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3.3 As-Is capabilities and pain points</t>
        </is>
      </c>
    </row>
    <row r="10">
      <c r="A10" s="6" t="inlineStr">
        <is>
          <t>Area</t>
        </is>
      </c>
      <c r="B10" s="6" t="inlineStr">
        <is>
          <t>As-Is</t>
        </is>
      </c>
      <c r="C10" s="6" t="inlineStr">
        <is>
          <t>Pain point</t>
        </is>
      </c>
    </row>
    <row r="11">
      <c r="A11" s="7" t="inlineStr">
        <is>
          <t>Structure</t>
        </is>
      </c>
      <c r="B11" s="7" t="inlineStr">
        <is>
          <t>Goals in 6 fixed categories (Food &amp; Kitchen, Health, House, Learning, Creative, Finance)</t>
        </is>
      </c>
      <c r="C11" s="7" t="inlineStr">
        <is>
          <t>No notion of physical areas; can't reflect "Kitchen Utility Area" vs "Kitchen"</t>
        </is>
      </c>
    </row>
    <row r="12">
      <c r="A12" s="7" t="inlineStr">
        <is>
          <t>Frequency</t>
        </is>
      </c>
      <c r="B12" s="7" t="inlineStr">
        <is>
          <t>Daily log per goal; target days</t>
        </is>
      </c>
      <c r="C12" s="7" t="inlineStr">
        <is>
          <t>Weekly and one-off upkeep doesn't fit</t>
        </is>
      </c>
    </row>
    <row r="13">
      <c r="A13" s="7" t="inlineStr">
        <is>
          <t>Logging</t>
        </is>
      </c>
      <c r="B13" s="7" t="inlineStr">
        <is>
          <t>"Did it today" + duration + note</t>
        </is>
      </c>
      <c r="C13" s="7" t="inlineStr">
        <is>
          <t>No backfill; missed logs break streaks unfairly</t>
        </is>
      </c>
    </row>
    <row r="14">
      <c r="A14" s="7" t="inlineStr">
        <is>
          <t>Rewards</t>
        </is>
      </c>
      <c r="B14" s="7" t="inlineStr">
        <is>
          <t>Linked to a goal or milestone day; ₹ value</t>
        </is>
      </c>
      <c r="C14" s="7" t="inlineStr">
        <is>
          <t>Can't share one reward across several tasks; no completion-count rule</t>
        </is>
      </c>
    </row>
    <row r="15">
      <c r="A15" s="7" t="inlineStr">
        <is>
          <t>Insight</t>
        </is>
      </c>
      <c r="B15" s="7" t="inlineStr">
        <is>
          <t>Summary cards (active goals, to log today, earned)</t>
        </is>
      </c>
      <c r="C15" s="7" t="inlineStr">
        <is>
          <t>No per-area or time-series view</t>
        </is>
      </c>
    </row>
    <row r="16">
      <c r="A16" s="7" t="inlineStr">
        <is>
          <t>Architecture</t>
        </is>
      </c>
      <c r="B16" s="7" t="inlineStr">
        <is>
          <t>Bundled into the host; Neo4j via shared Express API</t>
        </is>
      </c>
      <c r="C16" s="7" t="inlineStr">
        <is>
          <t>No independent deploy/failure; not reusable by Android; heavy DB for simple data</t>
        </is>
      </c>
    </row>
    <row r="17">
      <c r="A17" s="7" t="inlineStr">
        <is>
          <t>Resilience</t>
        </is>
      </c>
      <c r="B17" s="7" t="inlineStr">
        <is>
          <t>Single request path; errors surface raw</t>
        </is>
      </c>
      <c r="C17" s="7" t="inlineStr">
        <is>
          <t>Rewards failure affects the page</t>
        </is>
      </c>
    </row>
    <row r="18">
      <c r="A18" s="7" t="inlineStr">
        <is>
          <t>AI</t>
        </is>
      </c>
      <c r="B18" s="7" t="inlineStr">
        <is>
          <t>None</t>
        </is>
      </c>
      <c r="C18" s="7" t="inlineStr">
        <is>
          <t>Deciding what to do is manual</t>
        </is>
      </c>
    </row>
    <row r="19">
      <c r="A19" s="7" t="inlineStr">
        <is>
          <t>Service information</t>
        </is>
      </c>
      <c r="B19" s="7" t="inlineStr">
        <is>
          <t>Customer-care numbers in phone contacts, executives' numbers in old WhatsApp chats, paper bills in a drawer</t>
        </is>
      </c>
      <c r="C19" s="7" t="inlineStr">
        <is>
          <t>When an appliance breaks, finding the last executive or the bill takes longer than the fix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  <col width="16" customWidth="1" min="5" max="5"/>
  </cols>
  <sheetData>
    <row r="1">
      <c r="A1" s="4" t="inlineStr">
        <is>
          <t>4. To-Be</t>
        </is>
      </c>
    </row>
    <row r="3">
      <c r="A3" s="13" t="inlineStr">
        <is>
          <t>4.1 To-Be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4.2 To-Be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4.3 Gap analysis (As-Is → To-Be)</t>
        </is>
      </c>
    </row>
    <row r="10">
      <c r="A10" s="6" t="inlineStr">
        <is>
          <t>#</t>
        </is>
      </c>
      <c r="B10" s="6" t="inlineStr">
        <is>
          <t>Capability</t>
        </is>
      </c>
      <c r="C10" s="6" t="inlineStr">
        <is>
          <t>As-Is</t>
        </is>
      </c>
      <c r="D10" s="6" t="inlineStr">
        <is>
          <t>To-Be</t>
        </is>
      </c>
      <c r="E10" s="6" t="inlineStr">
        <is>
          <t>Change type</t>
        </is>
      </c>
    </row>
    <row r="11">
      <c r="A11" s="7" t="inlineStr">
        <is>
          <t>G1</t>
        </is>
      </c>
      <c r="B11" s="7" t="inlineStr">
        <is>
          <t>Organising model</t>
        </is>
      </c>
      <c r="C11" s="7" t="inlineStr">
        <is>
          <t>Goals × 6 categories</t>
        </is>
      </c>
      <c r="D11" s="7" t="inlineStr">
        <is>
          <t>3 tiles × editable areas × tasks</t>
        </is>
      </c>
      <c r="E11" s="7" t="inlineStr">
        <is>
          <t>Replace</t>
        </is>
      </c>
    </row>
    <row r="12">
      <c r="A12" s="7" t="inlineStr">
        <is>
          <t>G2</t>
        </is>
      </c>
      <c r="B12" s="7" t="inlineStr">
        <is>
          <t>Frequency</t>
        </is>
      </c>
      <c r="C12" s="7" t="inlineStr">
        <is>
          <t>Daily only</t>
        </is>
      </c>
      <c r="D12" s="7" t="inlineStr">
        <is>
          <t>Daily, weekly, one-off</t>
        </is>
      </c>
      <c r="E12" s="7" t="inlineStr">
        <is>
          <t>Extend</t>
        </is>
      </c>
    </row>
    <row r="13">
      <c r="A13" s="7" t="inlineStr">
        <is>
          <t>G3</t>
        </is>
      </c>
      <c r="B13" s="7" t="inlineStr">
        <is>
          <t>Streaks</t>
        </is>
      </c>
      <c r="C13" s="7" t="inlineStr">
        <is>
          <t>Daily streak per goal</t>
        </is>
      </c>
      <c r="D13" s="7" t="inlineStr">
        <is>
          <t>Per-task streak in days or weeks; current + best; backfill-safe</t>
        </is>
      </c>
      <c r="E13" s="7" t="inlineStr">
        <is>
          <t>Replace</t>
        </is>
      </c>
    </row>
    <row r="14">
      <c r="A14" s="7" t="inlineStr">
        <is>
          <t>G4</t>
        </is>
      </c>
      <c r="B14" s="7" t="inlineStr">
        <is>
          <t>Reward rules</t>
        </is>
      </c>
      <c r="C14" s="7" t="inlineStr">
        <is>
          <t>Goal/milestone-bound</t>
        </is>
      </c>
      <c r="D14" s="7" t="inlineStr">
        <is>
          <t>Tag to many tasks; *N completions* or *streak of N*; auto-unlock; claim</t>
        </is>
      </c>
      <c r="E14" s="7" t="inlineStr">
        <is>
          <t>Replace</t>
        </is>
      </c>
    </row>
    <row r="15">
      <c r="A15" s="7" t="inlineStr">
        <is>
          <t>G4b</t>
        </is>
      </c>
      <c r="B15" s="7" t="inlineStr">
        <is>
          <t>Reward taxonomy</t>
        </is>
      </c>
      <c r="C15" s="7" t="inlineStr">
        <is>
          <t>6 goal categories, separate from anything else</t>
        </is>
      </c>
      <c r="D15" s="7" t="inlineStr">
        <is>
          <t>Rewards share the task taxonomy: a tile (required) and optionally one area; tasks and rewards are matched within that scope</t>
        </is>
      </c>
      <c r="E15" s="7" t="inlineStr">
        <is>
          <t>New</t>
        </is>
      </c>
    </row>
    <row r="16">
      <c r="A16" s="7" t="inlineStr">
        <is>
          <t>G5</t>
        </is>
      </c>
      <c r="B16" s="7" t="inlineStr">
        <is>
          <t>Prioritisation</t>
        </is>
      </c>
      <c r="C16" s="7" t="inlineStr">
        <is>
          <t>None</t>
        </is>
      </c>
      <c r="D16" s="7" t="inlineStr">
        <is>
          <t>Drag tasks into your own order (top = most important); filter by status, relevance, milestone, due</t>
        </is>
      </c>
      <c r="E16" s="7" t="inlineStr">
        <is>
          <t>New</t>
        </is>
      </c>
    </row>
    <row r="17">
      <c r="A17" s="7" t="inlineStr">
        <is>
          <t>G6</t>
        </is>
      </c>
      <c r="B17" s="7" t="inlineStr">
        <is>
          <t>AI assistance</t>
        </is>
      </c>
      <c r="C17" s="7" t="inlineStr">
        <is>
          <t>None</t>
        </is>
      </c>
      <c r="D17" s="7" t="inlineStr">
        <is>
          <t>Photo → suggested tasks with human approval</t>
        </is>
      </c>
      <c r="E17" s="7" t="inlineStr">
        <is>
          <t>New (post-MVP)</t>
        </is>
      </c>
    </row>
    <row r="18">
      <c r="A18" s="7" t="inlineStr">
        <is>
          <t>G7</t>
        </is>
      </c>
      <c r="B18" s="7" t="inlineStr">
        <is>
          <t>Insights</t>
        </is>
      </c>
      <c r="C18" s="7" t="inlineStr">
        <is>
          <t>3 summary cards</t>
        </is>
      </c>
      <c r="D18" s="7" t="inlineStr">
        <is>
          <t>Dashboard: by tile/area/day, streaks, reward progress, AI acceptance</t>
        </is>
      </c>
      <c r="E18" s="7" t="inlineStr">
        <is>
          <t>New</t>
        </is>
      </c>
    </row>
    <row r="19">
      <c r="A19" s="7" t="inlineStr">
        <is>
          <t>G8</t>
        </is>
      </c>
      <c r="B19" s="7" t="inlineStr">
        <is>
          <t>Delivery</t>
        </is>
      </c>
      <c r="C19" s="7" t="inlineStr">
        <is>
          <t>Bundled into host</t>
        </is>
      </c>
      <c r="D19" s="7" t="inlineStr">
        <is>
          <t>Independently built and deployed MFE; host fallback</t>
        </is>
      </c>
      <c r="E19" s="7" t="inlineStr">
        <is>
          <t>Re-architect</t>
        </is>
      </c>
    </row>
    <row r="20">
      <c r="A20" s="7" t="inlineStr">
        <is>
          <t>G9</t>
        </is>
      </c>
      <c r="B20" s="7" t="inlineStr">
        <is>
          <t>Backend</t>
        </is>
      </c>
      <c r="C20" s="7" t="inlineStr">
        <is>
          <t>Express + Neo4j shared with other features</t>
        </is>
      </c>
      <c r="D20" s="7" t="inlineStr">
        <is>
          <t>Dedicated BFF, typed contracts, OpenAPI, relational store</t>
        </is>
      </c>
      <c r="E20" s="7" t="inlineStr">
        <is>
          <t>Re-architect</t>
        </is>
      </c>
    </row>
    <row r="21">
      <c r="A21" s="7" t="inlineStr">
        <is>
          <t>G10</t>
        </is>
      </c>
      <c r="B21" s="7" t="inlineStr">
        <is>
          <t>Clients</t>
        </is>
      </c>
      <c r="C21" s="7" t="inlineStr">
        <is>
          <t>Web only</t>
        </is>
      </c>
      <c r="D21" s="7" t="inlineStr">
        <is>
          <t>Web, analytics, Android-ready API</t>
        </is>
      </c>
      <c r="E21" s="7" t="inlineStr">
        <is>
          <t>New</t>
        </is>
      </c>
    </row>
    <row r="22">
      <c r="A22" s="7" t="inlineStr">
        <is>
          <t>G11</t>
        </is>
      </c>
      <c r="B22" s="7" t="inlineStr">
        <is>
          <t>Tile management</t>
        </is>
      </c>
      <c r="C22" s="7" t="inlineStr">
        <is>
          <t>6 fixed goal categories (plus custom ones)</t>
        </is>
      </c>
      <c r="D22" s="7" t="inlineStr">
        <is>
          <t>Tiles fully user-managed (create, edit, reorder, delete); empty start with an optional starter set</t>
        </is>
      </c>
      <c r="E22" s="7" t="inlineStr">
        <is>
          <t>Replace</t>
        </is>
      </c>
    </row>
    <row r="23">
      <c r="A23" s="7" t="inlineStr">
        <is>
          <t>G13</t>
        </is>
      </c>
      <c r="B23" s="7" t="inlineStr">
        <is>
          <t>Task planning and privacy</t>
        </is>
      </c>
      <c r="C23" s="7" t="inlineStr">
        <is>
          <t>Goals had target days and day-numbered milestones; everything visible</t>
        </is>
      </c>
      <c r="D23" s="7" t="inlineStr">
        <is>
          <t>Tasks: milestone flag (badge, filter, reward rule, bigger celebration), due date and time, days to complete, announce or silent (visibility and celebration)</t>
        </is>
      </c>
      <c r="E23" s="7" t="inlineStr">
        <is>
          <t>Extend</t>
        </is>
      </c>
    </row>
    <row r="24">
      <c r="A24" s="7" t="inlineStr">
        <is>
          <t>G14</t>
        </is>
      </c>
      <c r="B24" s="7" t="inlineStr">
        <is>
          <t>Reward ideas</t>
        </is>
      </c>
      <c r="C24" s="7" t="inlineStr">
        <is>
          <t>Reward had to be defined with its goal; no wishlist</t>
        </is>
      </c>
      <c r="D24" s="7" t="inlineStr">
        <is>
          <t>Capture reward ideas in seconds (title, photo, link, where seen, for whom); convert to a reward with a rule later, or close as bought/dropped</t>
        </is>
      </c>
      <c r="E24" s="7" t="inlineStr">
        <is>
          <t>New</t>
        </is>
      </c>
    </row>
    <row r="25">
      <c r="A25" s="7" t="inlineStr">
        <is>
          <t>G12</t>
        </is>
      </c>
      <c r="B25" s="7" t="inlineStr">
        <is>
          <t>Service records</t>
        </is>
      </c>
      <c r="C25" s="7" t="inlineStr">
        <is>
          <t>Scattered across phone contacts, chats and paper</t>
        </is>
      </c>
      <c r="D25" s="7" t="inlineStr">
        <is>
          <t>Notes, contacts and files on every tile and area, grouped by topic, with tap-to-call</t>
        </is>
      </c>
      <c r="E25" s="7" t="inlineStr">
        <is>
          <t>New</t>
        </is>
      </c>
    </row>
    <row r="26"/>
    <row r="27">
      <c r="A27" s="13" t="inlineStr">
        <is>
          <t>4.4 Transition plan</t>
        </is>
      </c>
    </row>
    <row r="28">
      <c r="A28" s="6" t="inlineStr">
        <is>
          <t>Step</t>
        </is>
      </c>
      <c r="B28" s="6" t="inlineStr">
        <is>
          <t>Description</t>
        </is>
      </c>
      <c r="C28" s="6" t="inlineStr">
        <is>
          <t>Status</t>
        </is>
      </c>
    </row>
    <row r="29">
      <c r="A29" s="7" t="inlineStr">
        <is>
          <t>T1</t>
        </is>
      </c>
      <c r="B29" s="7" t="inlineStr">
        <is>
          <t>Build the BFF and seed tiles/areas</t>
        </is>
      </c>
      <c r="C29" s="7" t="inlineStr">
        <is>
          <t>✅</t>
        </is>
      </c>
    </row>
    <row r="30">
      <c r="A30" s="7" t="inlineStr">
        <is>
          <t>T2</t>
        </is>
      </c>
      <c r="B30" s="7" t="inlineStr">
        <is>
          <t>Build the MFE; mount it on #/rewards; remove the old in-site rewards + /rewards Express routes</t>
        </is>
      </c>
      <c r="C30" s="7" t="inlineStr">
        <is>
          <t>✅ (branch)</t>
        </is>
      </c>
    </row>
    <row r="31">
      <c r="A31" s="7" t="inlineStr">
        <is>
          <t>T3</t>
        </is>
      </c>
      <c r="B31" s="7" t="inlineStr">
        <is>
          <t>Build the Streamlit insights client</t>
        </is>
      </c>
      <c r="C31" s="7" t="inlineStr">
        <is>
          <t>✅</t>
        </is>
      </c>
    </row>
    <row r="32">
      <c r="A32" s="7" t="inlineStr">
        <is>
          <t>T3a</t>
        </is>
      </c>
      <c r="B32" s="7" t="inlineStr">
        <is>
          <t>Schema migrations (Alembic) + export/import, so schema changes never cost existing data</t>
        </is>
      </c>
      <c r="C32" s="7" t="inlineStr">
        <is>
          <t>✅ (branch)</t>
        </is>
      </c>
    </row>
    <row r="33">
      <c r="A33" s="7" t="inlineStr">
        <is>
          <t>T3b</t>
        </is>
      </c>
      <c r="B33" s="7" t="inlineStr">
        <is>
          <t>Reward scope and matching (HLR-9), shipped as a data-preserving migration (0003_reward_scope)</t>
        </is>
      </c>
      <c r="C33" s="7" t="inlineStr">
        <is>
          <t>✅ (branch)</t>
        </is>
      </c>
    </row>
    <row r="34">
      <c r="A34" s="7" t="inlineStr">
        <is>
          <t>T3c</t>
        </is>
      </c>
      <c r="B34" s="7" t="inlineStr">
        <is>
          <t>User-managed tiles (CRUD), no seeding, optional starter set (HLR-1 update)</t>
        </is>
      </c>
      <c r="C34" s="7" t="inlineStr">
        <is>
          <t>✅ (branch)</t>
        </is>
      </c>
    </row>
    <row r="35">
      <c r="A35" s="7" t="inlineStr">
        <is>
          <t>T3d</t>
        </is>
      </c>
      <c r="B35" s="7" t="inlineStr">
        <is>
          <t>Notes, contacts and files on tiles and areas (HLR-10)</t>
        </is>
      </c>
      <c r="C35" s="7" t="inlineStr">
        <is>
          <t>✅ (branch)</t>
        </is>
      </c>
    </row>
    <row r="36">
      <c r="A36" s="7" t="inlineStr">
        <is>
          <t>T3e</t>
        </is>
      </c>
      <c r="B36" s="7" t="inlineStr">
        <is>
          <t>Task planning and visibility: milestones, due date/time, days to complete, announce/silent (HLR-11)</t>
        </is>
      </c>
      <c r="C36" s="7" t="inlineStr">
        <is>
          <t>✅ (branch; hiding silent tasks from visitors comes with hosting)</t>
        </is>
      </c>
    </row>
    <row r="37">
      <c r="A37" s="7" t="inlineStr">
        <is>
          <t>T3f</t>
        </is>
      </c>
      <c r="B37" s="7" t="inlineStr">
        <is>
          <t>Reward ideas and wishlist, "For whom" on rewards (HLR-12)</t>
        </is>
      </c>
      <c r="C37" s="7" t="inlineStr">
        <is>
          <t>✅ (branch; hiding private ideas from visitors comes with hosting)</t>
        </is>
      </c>
    </row>
    <row r="38">
      <c r="A38" s="7" t="inlineStr">
        <is>
          <t>T3g</t>
        </is>
      </c>
      <c r="B38" s="7" t="inlineStr">
        <is>
          <t>Tiles without areas (HLR-13), shipped as a data-preserving migration (0006_tile_without_areas)</t>
        </is>
      </c>
      <c r="C38" s="7" t="inlineStr">
        <is>
          <t>✅ (branch)</t>
        </is>
      </c>
    </row>
    <row r="39">
      <c r="A39" s="7" t="inlineStr">
        <is>
          <t>T3h</t>
        </is>
      </c>
      <c r="B39" s="7" t="inlineStr">
        <is>
          <t>Drag tasks into order instead of High/Med/Low (HLR-2 revision, D16), with a data-preserving migration (0007_task_order) that keeps today's order</t>
        </is>
      </c>
      <c r="C39" s="7" t="inlineStr">
        <is>
          <t>✅ (branch)</t>
        </is>
      </c>
    </row>
    <row r="40">
      <c r="A40" s="7" t="inlineStr">
        <is>
          <t>T4</t>
        </is>
      </c>
      <c r="B40" s="7" t="inlineStr">
        <is>
          <t>Deploy the MFE + BFF; set the host's remote URL; merge to main</t>
        </is>
      </c>
      <c r="C40" s="7" t="inlineStr">
        <is>
          <t>⏳</t>
        </is>
      </c>
    </row>
    <row r="41">
      <c r="A41" s="7" t="inlineStr">
        <is>
          <t>T5</t>
        </is>
      </c>
      <c r="B41" s="7" t="inlineStr">
        <is>
          <t>Integration services: vision → events/outbox → reminders</t>
        </is>
      </c>
      <c r="C41" s="7" t="inlineStr">
        <is>
          <t>⏳</t>
        </is>
      </c>
    </row>
    <row r="42">
      <c r="A42" s="7" t="inlineStr">
        <is>
          <t>T6</t>
        </is>
      </c>
      <c r="B42" s="7" t="inlineStr">
        <is>
          <t>Mobile BFF surface; Android client</t>
        </is>
      </c>
      <c r="C42" s="7" t="inlineStr">
        <is>
          <t>⏳ future</t>
        </is>
      </c>
    </row>
    <row r="43"/>
    <row r="44">
      <c r="A44" s="12" t="inlineStr">
        <is>
          <t>No data migration from Neo4j is planned. The old feature held no production data worth carrying over (its auth gate was disabled and the new model differs). Confirm before T4.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52" customWidth="1" min="2" max="2"/>
    <col width="28" customWidth="1" min="3" max="3"/>
  </cols>
  <sheetData>
    <row r="1">
      <c r="A1" s="4" t="inlineStr">
        <is>
          <t>5. Scope</t>
        </is>
      </c>
    </row>
    <row r="3">
      <c r="A3" s="6" t="inlineStr">
        <is>
          <t>In scope (MVP)</t>
        </is>
      </c>
      <c r="B3" s="6" t="inlineStr">
        <is>
          <t>Post-MVP (capstone extensions)</t>
        </is>
      </c>
      <c r="C3" s="6" t="inlineStr">
        <is>
          <t>Out of scope</t>
        </is>
      </c>
    </row>
    <row r="4">
      <c r="A4" s="7" t="inlineStr">
        <is>
          <t>Tile and area CRUD (no seeding, optional starter set), tasks, completions, streaks, rewards, claim; rewards scoped to the same tiles/areas and matched to tasks; notes, contacts and files on tiles and areas</t>
        </is>
      </c>
      <c r="B4" s="7" t="inlineStr">
        <is>
          <t>Photo → AI suggestions (vision adapter)</t>
        </is>
      </c>
      <c r="C4" s="7" t="inlineStr">
        <is>
          <t>Android app build</t>
        </is>
      </c>
    </row>
    <row r="5">
      <c r="A5" s="7" t="inlineStr">
        <is>
          <t>React MFE + host integration</t>
        </is>
      </c>
      <c r="B5" s="7" t="inlineStr">
        <is>
          <t>Domain events + outbox; reminders (push/email)</t>
        </is>
      </c>
      <c r="C5" s="7" t="inlineStr">
        <is>
          <t>Real auth / multi-user</t>
        </is>
      </c>
    </row>
    <row r="6">
      <c r="A6" s="7" t="inlineStr">
        <is>
          <t>FastAPI BFF with per-client shapes</t>
        </is>
      </c>
      <c r="B6" s="7" t="inlineStr">
        <is>
          <t>Calendar ICS feed; object storage; AI weekly coach</t>
        </is>
      </c>
      <c r="C6" s="7" t="inlineStr">
        <is>
          <t>Other microfrontends</t>
        </is>
      </c>
    </row>
    <row r="7">
      <c r="A7" s="7" t="inlineStr">
        <is>
          <t>Streamlit insights</t>
        </is>
      </c>
      <c r="B7" s="7" t="inlineStr">
        <is>
          <t>Mobile BFF surface; OIDC</t>
        </is>
      </c>
      <c r="C7" s="7" t="inlineStr">
        <is>
          <t>WhatsApp, Apify, Snowflake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5"/>
  <sheetViews>
    <sheetView zoomScale="100" workbookViewId="0">
      <selection activeCell="A1" sqref="A1"/>
    </sheetView>
  </sheetViews>
  <sheetFormatPr baseColWidth="8" defaultRowHeight="15"/>
  <cols>
    <col width="48" customWidth="1" min="1" max="1"/>
    <col width="70" customWidth="1" min="2" max="2"/>
    <col width="70" customWidth="1" min="3" max="3"/>
    <col width="18" customWidth="1" min="4" max="4"/>
    <col width="8" customWidth="1" min="5" max="5"/>
  </cols>
  <sheetData>
    <row r="1">
      <c r="A1" s="4" t="inlineStr">
        <is>
          <t>6. High-level requirements</t>
        </is>
      </c>
    </row>
    <row r="3">
      <c r="A3" s="13" t="inlineStr">
        <is>
          <t>6.1 Business requirements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Success measure</t>
        </is>
      </c>
    </row>
    <row r="5">
      <c r="A5" s="7" t="inlineStr">
        <is>
          <t>BR-1</t>
        </is>
      </c>
      <c r="B5" s="7" t="inlineStr">
        <is>
          <t>Make recurring upkeep visible and motivating</t>
        </is>
      </c>
      <c r="C5" s="7" t="inlineStr">
        <is>
          <t>≥ 3 active streaks maintained for 2 weeks in personal use</t>
        </is>
      </c>
    </row>
    <row r="6">
      <c r="A6" s="7" t="inlineStr">
        <is>
          <t>BR-2</t>
        </is>
      </c>
      <c r="B6" s="7" t="inlineStr">
        <is>
          <t>Reduce effort to decide what to do in an area</t>
        </is>
      </c>
      <c r="C6" s="7" t="inlineStr">
        <is>
          <t>Post-MVP: ≥ 50 % of AI suggestions marked Relevant</t>
        </is>
      </c>
    </row>
    <row r="7">
      <c r="A7" s="7" t="inlineStr">
        <is>
          <t>BR-3</t>
        </is>
      </c>
      <c r="B7" s="7" t="inlineStr">
        <is>
          <t>Provide weekly insight into effort distribution</t>
        </is>
      </c>
      <c r="C7" s="7" t="inlineStr">
        <is>
          <t>Weekly review done from the dashboard in &lt; 2 min</t>
        </is>
      </c>
    </row>
    <row r="8">
      <c r="A8" s="7" t="inlineStr">
        <is>
          <t>BR-4</t>
        </is>
      </c>
      <c r="B8" s="7" t="inlineStr">
        <is>
          <t>Demonstrate MFE, BFF, integration and data-app principles (capstone)</t>
        </is>
      </c>
      <c r="C8" s="7" t="inlineStr">
        <is>
          <t>3-minute demo script runs end to end</t>
        </is>
      </c>
    </row>
    <row r="9">
      <c r="A9" s="7" t="inlineStr">
        <is>
          <t>BR-5</t>
        </is>
      </c>
      <c r="B9" s="7" t="inlineStr">
        <is>
          <t>Be ready for an Android client without backend rewrite</t>
        </is>
      </c>
      <c r="C9" s="7" t="inlineStr">
        <is>
          <t>All user actions available via documented API (OpenAPI)</t>
        </is>
      </c>
    </row>
    <row r="10"/>
    <row r="11">
      <c r="A11" s="13" t="inlineStr">
        <is>
          <t>6.2 High-level functional requirements (epics)</t>
        </is>
      </c>
    </row>
    <row r="12">
      <c r="A12" s="6" t="inlineStr">
        <is>
          <t>ID</t>
        </is>
      </c>
      <c r="B12" s="6" t="inlineStr">
        <is>
          <t>Epic</t>
        </is>
      </c>
      <c r="C12" s="6" t="inlineStr">
        <is>
          <t>Summary</t>
        </is>
      </c>
      <c r="D12" s="6" t="inlineStr">
        <is>
          <t>Traces to (LLRD)</t>
        </is>
      </c>
      <c r="E12" s="6" t="inlineStr">
        <is>
          <t>MVP</t>
        </is>
      </c>
    </row>
    <row r="13">
      <c r="A13" s="7" t="inlineStr">
        <is>
          <t>HLR-1</t>
        </is>
      </c>
      <c r="B13" s="7" t="inlineStr">
        <is>
          <t>Tiles &amp; areas</t>
        </is>
      </c>
      <c r="C13" s="7" t="inlineStr">
        <is>
          <t>User-managed tiles and areas (create, edit, reorder, delete); empty start with an optional starter set</t>
        </is>
      </c>
      <c r="D13" s="7" t="inlineStr">
        <is>
          <t>LLR-1.x</t>
        </is>
      </c>
      <c r="E13" s="7" t="inlineStr">
        <is>
          <t>✅</t>
        </is>
      </c>
    </row>
    <row r="14">
      <c r="A14" s="7" t="inlineStr">
        <is>
          <t>HLR-2</t>
        </is>
      </c>
      <c r="B14" s="7" t="inlineStr">
        <is>
          <t>Task management</t>
        </is>
      </c>
      <c r="C14" s="7" t="inlineStr">
        <is>
          <t>Create, order by importance (drag; top = most important), filter, change status/frequency/relevance</t>
        </is>
      </c>
      <c r="D14" s="7" t="inlineStr">
        <is>
          <t>LLR-2.x</t>
        </is>
      </c>
      <c r="E14" s="7" t="inlineStr">
        <is>
          <t>✅</t>
        </is>
      </c>
    </row>
    <row r="15">
      <c r="A15" s="7" t="inlineStr">
        <is>
          <t>HLR-3</t>
        </is>
      </c>
      <c r="B15" s="7" t="inlineStr">
        <is>
          <t>Completion &amp; streaks</t>
        </is>
      </c>
      <c r="C15" s="7" t="inlineStr">
        <is>
          <t>Log completions with note/backfill; activity log; current/best streak</t>
        </is>
      </c>
      <c r="D15" s="7" t="inlineStr">
        <is>
          <t>LLR-3.x</t>
        </is>
      </c>
      <c r="E15" s="7" t="inlineStr">
        <is>
          <t>✅</t>
        </is>
      </c>
    </row>
    <row r="16">
      <c r="A16" s="7" t="inlineStr">
        <is>
          <t>HLR-4</t>
        </is>
      </c>
      <c r="B16" s="7" t="inlineStr">
        <is>
          <t>Rewards</t>
        </is>
      </c>
      <c r="C16" s="7" t="inlineStr">
        <is>
          <t>Create, tag, progress, auto-unlock, claim</t>
        </is>
      </c>
      <c r="D16" s="7" t="inlineStr">
        <is>
          <t>LLR-4.1–4.8</t>
        </is>
      </c>
      <c r="E16" s="7" t="inlineStr">
        <is>
          <t>✅</t>
        </is>
      </c>
    </row>
    <row r="17">
      <c r="A17" s="7" t="inlineStr">
        <is>
          <t>HLR-9</t>
        </is>
      </c>
      <c r="B17" s="7" t="inlineStr">
        <is>
          <t>Reward scope and matching</t>
        </is>
      </c>
      <c r="C17" s="7" t="inlineStr">
        <is>
          <t>Rewards live in the same tiles and areas as tasks; tasks are matched to rewards inside that scope (selected tasks, or all tasks in scope); existing rewards migrated without data loss</t>
        </is>
      </c>
      <c r="D17" s="7" t="inlineStr">
        <is>
          <t>LLR-4.9–4.18</t>
        </is>
      </c>
      <c r="E17" s="7" t="inlineStr">
        <is>
          <t>✅</t>
        </is>
      </c>
    </row>
    <row r="18">
      <c r="A18" s="7" t="inlineStr">
        <is>
          <t>HLR-10</t>
        </is>
      </c>
      <c r="B18" s="7" t="inlineStr">
        <is>
          <t>Notes, contacts and files</t>
        </is>
      </c>
      <c r="C18" s="7" t="inlineStr">
        <is>
          <t>Every tile and area holds notes, contacts (customer care, service executives, vendors) and files (bills, warranty cards), grouped by topic such as "Bosch Dishwasher", with tap-to-call and search</t>
        </is>
      </c>
      <c r="D18" s="7" t="inlineStr">
        <is>
          <t>LLR-10.x</t>
        </is>
      </c>
      <c r="E18" s="7" t="inlineStr">
        <is>
          <t>✅</t>
        </is>
      </c>
    </row>
    <row r="19">
      <c r="A19" s="7" t="inlineStr">
        <is>
          <t>HLR-11</t>
        </is>
      </c>
      <c r="B19" s="7" t="inlineStr">
        <is>
          <t>Task planning and visibility</t>
        </is>
      </c>
      <c r="C19" s="7" t="inlineStr">
        <is>
          <t>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D19" s="7" t="inlineStr">
        <is>
          <t>LLR-11.x</t>
        </is>
      </c>
      <c r="E19" s="7" t="inlineStr">
        <is>
          <t>✅</t>
        </is>
      </c>
    </row>
    <row r="20">
      <c r="A20" s="7" t="inlineStr">
        <is>
          <t>HLR-12</t>
        </is>
      </c>
      <c r="B20" s="7" t="inlineStr">
        <is>
          <t>Reward ideas and wishlist</t>
        </is>
      </c>
      <c r="C20" s="7" t="inlineStr">
        <is>
          <t>Capture a reward idea in seconds (e.g. a book for Shiragi spotted at the library) without a rule; turn it into a real reward later, or mark it bought or dropped; every reward says who it's for</t>
        </is>
      </c>
      <c r="D20" s="7" t="inlineStr">
        <is>
          <t>LLR-12.x</t>
        </is>
      </c>
      <c r="E20" s="7" t="inlineStr">
        <is>
          <t>✅</t>
        </is>
      </c>
    </row>
    <row r="21">
      <c r="A21" s="7" t="inlineStr">
        <is>
          <t>HLR-13</t>
        </is>
      </c>
      <c r="B21" s="7" t="inlineStr">
        <is>
          <t>Tiles without areas</t>
        </is>
      </c>
      <c r="C21" s="7" t="inlineStr">
        <is>
          <t>A tile can switch areas off (e.g. Career / Office / Work): it then opens straight to Tasks, Rewards and Notes &amp; contacts, and tasks can be moved between tiles and areas</t>
        </is>
      </c>
      <c r="D21" s="7" t="inlineStr">
        <is>
          <t>LLR-13.x</t>
        </is>
      </c>
      <c r="E21" s="7" t="inlineStr">
        <is>
          <t>✅</t>
        </is>
      </c>
    </row>
    <row r="22">
      <c r="A22" s="7" t="inlineStr">
        <is>
          <t>HLR-5</t>
        </is>
      </c>
      <c r="B22" s="7" t="inlineStr">
        <is>
          <t>Insights dashboard</t>
        </is>
      </c>
      <c r="C22" s="7" t="inlineStr">
        <is>
          <t>Aggregates, filters, cached reads, claim from dashboard</t>
        </is>
      </c>
      <c r="D22" s="7" t="inlineStr">
        <is>
          <t>LLR-5.x</t>
        </is>
      </c>
      <c r="E22" s="7" t="inlineStr">
        <is>
          <t>✅</t>
        </is>
      </c>
    </row>
    <row r="23">
      <c r="A23" s="7" t="inlineStr">
        <is>
          <t>HLR-6</t>
        </is>
      </c>
      <c r="B23" s="7" t="inlineStr">
        <is>
          <t>AI task suggestions</t>
        </is>
      </c>
      <c r="C23" s="7" t="inlineStr">
        <is>
          <t>Photos → suggestions → decisions → tasks; non-blocking</t>
        </is>
      </c>
      <c r="D23" s="7" t="inlineStr">
        <is>
          <t>LLR-6.x</t>
        </is>
      </c>
      <c r="E23" s="7" t="inlineStr">
        <is>
          <t>⏳</t>
        </is>
      </c>
    </row>
    <row r="24">
      <c r="A24" s="7" t="inlineStr">
        <is>
          <t>HLR-7</t>
        </is>
      </c>
      <c r="B24" s="7" t="inlineStr">
        <is>
          <t>Module composition</t>
        </is>
      </c>
      <c r="C24" s="7" t="inlineStr">
        <is>
          <t>Independently delivered MFE with host fallback</t>
        </is>
      </c>
      <c r="D24" s="7" t="inlineStr">
        <is>
          <t>LLR-7.x</t>
        </is>
      </c>
      <c r="E24" s="7" t="inlineStr">
        <is>
          <t>✅</t>
        </is>
      </c>
    </row>
    <row r="25">
      <c r="A25" s="7" t="inlineStr">
        <is>
          <t>HLR-8</t>
        </is>
      </c>
      <c r="B25" s="7" t="inlineStr">
        <is>
          <t>API (BFF)</t>
        </is>
      </c>
      <c r="C25" s="7" t="inlineStr">
        <is>
          <t>Versionable, documented, client-shaped API with demo auth</t>
        </is>
      </c>
      <c r="D25" s="7" t="inlineStr">
        <is>
          <t>LLR-8.x</t>
        </is>
      </c>
      <c r="E25" s="7" t="inlineStr">
        <is>
          <t>✅</t>
        </is>
      </c>
    </row>
    <row r="26"/>
    <row r="27">
      <c r="A27" s="13" t="inlineStr">
        <is>
          <t>6.3 High-level non-functional requirements</t>
        </is>
      </c>
    </row>
    <row r="28">
      <c r="A28" s="6" t="inlineStr">
        <is>
          <t>ID</t>
        </is>
      </c>
      <c r="B28" s="6" t="inlineStr">
        <is>
          <t>Category</t>
        </is>
      </c>
      <c r="C28" s="6" t="inlineStr">
        <is>
          <t>Requirement</t>
        </is>
      </c>
    </row>
    <row r="29">
      <c r="A29" s="7" t="inlineStr">
        <is>
          <t>HNFR-1</t>
        </is>
      </c>
      <c r="B29" s="7" t="inlineStr">
        <is>
          <t>Usability</t>
        </is>
      </c>
      <c r="C29" s="7" t="inlineStr">
        <is>
          <t>Mobile-first; every primary action reachable in ≤ 3 taps from the area screen</t>
        </is>
      </c>
    </row>
    <row r="30">
      <c r="A30" s="7" t="inlineStr">
        <is>
          <t>HNFR-2</t>
        </is>
      </c>
      <c r="B30" s="7" t="inlineStr">
        <is>
          <t>Resilience</t>
        </is>
      </c>
      <c r="C30" s="7" t="inlineStr">
        <is>
          <t>No single dependency failure (remote, BFF, AI) blanks the host page</t>
        </is>
      </c>
    </row>
    <row r="31">
      <c r="A31" s="7" t="inlineStr">
        <is>
          <t>HNFR-3</t>
        </is>
      </c>
      <c r="B31" s="7" t="inlineStr">
        <is>
          <t>Performance</t>
        </is>
      </c>
      <c r="C31" s="7" t="inlineStr">
        <is>
          <t>Rewards screen interactive ≤ 2 s on local/broadband; dashboard cached reads</t>
        </is>
      </c>
    </row>
    <row r="32">
      <c r="A32" s="7" t="inlineStr">
        <is>
          <t>HNFR-4</t>
        </is>
      </c>
      <c r="B32" s="7" t="inlineStr">
        <is>
          <t>Security</t>
        </is>
      </c>
      <c r="C32" s="7" t="inlineStr">
        <is>
          <t>Secrets server-side only; CORS allow-list; private photo storage</t>
        </is>
      </c>
    </row>
    <row r="33">
      <c r="A33" s="7" t="inlineStr">
        <is>
          <t>HNFR-5</t>
        </is>
      </c>
      <c r="B33" s="7" t="inlineStr">
        <is>
          <t>Accessibility</t>
        </is>
      </c>
      <c r="C33" s="7" t="inlineStr">
        <is>
          <t>WCAG 2.2 AA intent: labels, focus, live regions, contrast, reduced motion</t>
        </is>
      </c>
    </row>
    <row r="34">
      <c r="A34" s="7" t="inlineStr">
        <is>
          <t>HNFR-6</t>
        </is>
      </c>
      <c r="B34" s="7" t="inlineStr">
        <is>
          <t>Maintainability</t>
        </is>
      </c>
      <c r="C34" s="7" t="inlineStr">
        <is>
          <t>Typed contracts; pure, unit-tested business rules; ≥ 1 test per business rule</t>
        </is>
      </c>
    </row>
    <row r="35">
      <c r="A35" s="7" t="inlineStr">
        <is>
          <t>HNFR-7</t>
        </is>
      </c>
      <c r="B35" s="7" t="inlineStr">
        <is>
          <t>Portability</t>
        </is>
      </c>
      <c r="C35" s="7" t="inlineStr">
        <is>
          <t>HTTP/JSON only between tiers; storage swappable (SQLite → Postgres)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="100" workbookViewId="0">
      <selection activeCell="A1" sqref="A1"/>
    </sheetView>
  </sheetViews>
  <sheetFormatPr baseColWidth="8" defaultRowHeight="15"/>
  <cols>
    <col width="27" customWidth="1" min="1" max="1"/>
    <col width="16" customWidth="1" min="2" max="2"/>
    <col width="20" customWidth="1" min="3" max="3"/>
    <col width="20" customWidth="1" min="4" max="4"/>
  </cols>
  <sheetData>
    <row r="1">
      <c r="A1" s="4" t="inlineStr">
        <is>
          <t>7. Stakeholders and RACI</t>
        </is>
      </c>
    </row>
    <row r="3">
      <c r="A3" s="6" t="inlineStr">
        <is>
          <t>Activity</t>
        </is>
      </c>
      <c r="B3" s="6" t="inlineStr">
        <is>
          <t>Mansi (PO/dev)</t>
        </is>
      </c>
      <c r="C3" s="6" t="inlineStr">
        <is>
          <t>Capstone evaluator</t>
        </is>
      </c>
      <c r="D3" s="6" t="inlineStr">
        <is>
          <t>Future Android dev</t>
        </is>
      </c>
    </row>
    <row r="4">
      <c r="A4" s="7" t="inlineStr">
        <is>
          <t>Requirements &amp; priorities</t>
        </is>
      </c>
      <c r="B4" s="7" t="inlineStr">
        <is>
          <t>A/R</t>
        </is>
      </c>
      <c r="C4" s="7" t="inlineStr">
        <is>
          <t>C</t>
        </is>
      </c>
      <c r="D4" s="7" t="inlineStr">
        <is>
          <t>I</t>
        </is>
      </c>
    </row>
    <row r="5">
      <c r="A5" s="7" t="inlineStr">
        <is>
          <t>Architecture &amp; build</t>
        </is>
      </c>
      <c r="B5" s="7" t="inlineStr">
        <is>
          <t>A/R</t>
        </is>
      </c>
      <c r="C5" s="7" t="inlineStr">
        <is>
          <t>C</t>
        </is>
      </c>
      <c r="D5" s="7" t="inlineStr">
        <is>
          <t>C (API)</t>
        </is>
      </c>
    </row>
    <row r="6">
      <c r="A6" s="7" t="inlineStr">
        <is>
          <t>Demo &amp; evaluation</t>
        </is>
      </c>
      <c r="B6" s="7" t="inlineStr">
        <is>
          <t>R</t>
        </is>
      </c>
      <c r="C6" s="7" t="inlineStr">
        <is>
          <t>A</t>
        </is>
      </c>
      <c r="D6" s="7" t="inlineStr">
        <is>
          <t>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8. Dependencies</t>
        </is>
      </c>
    </row>
    <row r="3">
      <c r="A3" s="12" t="inlineStr">
        <is>
          <t>Vercel (host + MFE hosting); a Python host for the BFF (post-MVP deploy); the Anthropic API (post-MVP vision); @originjs/vite-plugin-federation; Streamlit.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8" customWidth="1" min="3" max="3"/>
    <col width="70" customWidth="1" min="4" max="4"/>
  </cols>
  <sheetData>
    <row r="1">
      <c r="A1" s="4" t="inlineStr">
        <is>
          <t>9. Risks</t>
        </is>
      </c>
    </row>
    <row r="3">
      <c r="A3" s="6" t="inlineStr">
        <is>
          <t>Risk</t>
        </is>
      </c>
      <c r="B3" s="6" t="inlineStr">
        <is>
          <t>Likelihood</t>
        </is>
      </c>
      <c r="C3" s="6" t="inlineStr">
        <is>
          <t>Impact</t>
        </is>
      </c>
      <c r="D3" s="6" t="inlineStr">
        <is>
          <t>Mitigation</t>
        </is>
      </c>
    </row>
    <row r="4">
      <c r="A4" s="7" t="inlineStr">
        <is>
          <t>Remote not deployed when merged → #/rewards shows fallback</t>
        </is>
      </c>
      <c r="B4" s="7" t="inlineStr">
        <is>
          <t>M</t>
        </is>
      </c>
      <c r="C4" s="7" t="inlineStr">
        <is>
          <t>M</t>
        </is>
      </c>
      <c r="D4" s="7" t="inlineStr">
        <is>
          <t>Deploy the MFE + BFF before merging to main (T4)</t>
        </is>
      </c>
    </row>
    <row r="5">
      <c r="A5" s="7" t="inlineStr">
        <is>
          <t>AI suggestions low quality</t>
        </is>
      </c>
      <c r="B5" s="7" t="inlineStr">
        <is>
          <t>M</t>
        </is>
      </c>
      <c r="C5" s="7" t="inlineStr">
        <is>
          <t>L</t>
        </is>
      </c>
      <c r="D5" s="7" t="inlineStr">
        <is>
          <t>Human approval per suggestion; acceptance-rate metric in the dashboard</t>
        </is>
      </c>
    </row>
    <row r="6">
      <c r="A6" s="7" t="inlineStr">
        <is>
          <t>Scope creep into other modules</t>
        </is>
      </c>
      <c r="B6" s="7" t="inlineStr">
        <is>
          <t>M</t>
        </is>
      </c>
      <c r="C6" s="7" t="inlineStr">
        <is>
          <t>M</t>
        </is>
      </c>
      <c r="D6" s="7" t="inlineStr">
        <is>
          <t>Capstone limited to Rewards; roadmap items gated by priority</t>
        </is>
      </c>
    </row>
    <row r="7">
      <c r="A7" s="7" t="inlineStr">
        <is>
          <t>Contacts and bills visible in the public read-only view (PO decision Q17): executives' personal numbers and your bills exposed once hosted</t>
        </is>
      </c>
      <c r="B7" s="7" t="inlineStr">
        <is>
          <t>M</t>
        </is>
      </c>
      <c r="C7" s="7" t="inlineStr">
        <is>
          <t>H</t>
        </is>
      </c>
      <c r="D7" s="7" t="inlineStr">
        <is>
          <t>Acceptable locally; revisit before going public (option: hide details from visitors while keeping rewards public)</t>
        </is>
      </c>
    </row>
    <row r="8">
      <c r="A8" s="7" t="inlineStr">
        <is>
          <t>Silent tasks leaking through counts or reward lists in the public view</t>
        </is>
      </c>
      <c r="B8" s="7" t="inlineStr">
        <is>
          <t>M</t>
        </is>
      </c>
      <c r="C8" s="7" t="inlineStr">
        <is>
          <t>M</t>
        </is>
      </c>
      <c r="D8" s="7" t="inlineStr">
        <is>
          <t>Silent tasks and their completions are removed from every response served without the passcode, including counts, dashboard aggregates and reward task lists (BR-R23); tested explicitly</t>
        </is>
      </c>
    </row>
    <row r="9">
      <c r="A9" s="7" t="inlineStr">
        <is>
          <t>Deleting a tile removes everything under it</t>
        </is>
      </c>
      <c r="B9" s="7" t="inlineStr">
        <is>
          <t>L</t>
        </is>
      </c>
      <c r="C9" s="7" t="inlineStr">
        <is>
          <t>H</t>
        </is>
      </c>
      <c r="D9" s="7" t="inlineStr">
        <is>
          <t>Typed-name confirmation listing what will go, plus an automatic database snapshot first (BR-R18)</t>
        </is>
      </c>
    </row>
    <row r="10">
      <c r="A10" s="7" t="inlineStr">
        <is>
          <t>React version drift host ↔ remote</t>
        </is>
      </c>
      <c r="B10" s="7" t="inlineStr">
        <is>
          <t>L</t>
        </is>
      </c>
      <c r="C10" s="7" t="inlineStr">
        <is>
          <t>H</t>
        </is>
      </c>
      <c r="D10" s="7" t="inlineStr">
        <is>
          <t>Shared singleton; pinned versions; smoke check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10. Acceptance (MVP)</t>
        </is>
      </c>
    </row>
    <row r="3">
      <c r="A3" s="12" t="inlineStr">
        <is>
          <t>The MVP is accepted when the demo runs without manual workarounds:</t>
        </is>
      </c>
    </row>
    <row r="4"/>
    <row r="5">
      <c r="A5" s="7" t="inlineStr">
        <is>
          <t>• Open #/rewards → Household → Kitchen.</t>
        </is>
      </c>
    </row>
    <row r="6">
      <c r="A6" s="7" t="inlineStr">
        <is>
          <t>• Add a task.</t>
        </is>
      </c>
    </row>
    <row r="7">
      <c r="A7" s="7" t="inlineStr">
        <is>
          <t>• Complete it (yesterday + today) → streak 2.</t>
        </is>
      </c>
    </row>
    <row r="8">
      <c r="A8" s="7" t="inlineStr">
        <is>
          <t>• Tag a *3 completions* reward → complete again → unlock toast → claim.</t>
        </is>
      </c>
    </row>
    <row r="9">
      <c r="A9" s="7" t="inlineStr">
        <is>
          <t>• The Streamlit dashboard reflects completions, streaks and the claim.</t>
        </is>
      </c>
    </row>
    <row r="10">
      <c r="A10" s="7" t="inlineStr">
        <is>
          <t>• With the remote or BFF stopped, the site shows the documented fallbacks.</t>
        </is>
      </c>
    </row>
    <row r="11">
      <c r="A11" s="7" t="inlineStr">
        <is>
          <t>• (HLR-9) Kitchen shows "Rewards you can earn here" for rewards scoped to Household or Household › Kitchen, and the Kitchen task can only be tagged to those.</t>
        </is>
      </c>
    </row>
    <row r="12">
      <c r="A12" s="7" t="inlineStr">
        <is>
          <t>• (HLR-1) On a fresh database, create a tile "Home", rename it, add areas; "Add suggested tiles" adds the starter set without duplicating "Home".</t>
        </is>
      </c>
    </row>
    <row r="13">
      <c r="A13" s="7" t="inlineStr">
        <is>
          <t>• (HLR-10) Kitchen › Notes &amp; contacts shows a "Bosch Dishwasher" topic with its customer-care number, past executives with visit dates, bills and notes; tapping a number starts a call on the phone. Household (tile level) holds "Pest Control" with its last executive.</t>
        </is>
      </c>
    </row>
    <row r="14">
      <c r="A14" s="7" t="inlineStr">
        <is>
          <t>• (HLR-11) A milestone task "Finish React course" (due 31 Oct 2026, 18:00; 30 days to complete) shows its 🏁 badge and due chip; a reward with the rule "milestone completed" unlocks when it's done, with the milestone celebration. A silent task doesn't appear in the read-only view and completes without a toast.</t>
        </is>
      </c>
    </row>
    <row r="15">
      <c r="A15" s="7" t="inlineStr">
        <is>
          <t>• (HLR-12) At the library, capture the idea "101 Hilarious Jokes" for Shiragi with a cover photo in two taps; later turn it into a reward that unlocks when Shiragi's "Read 20 minutes" task reaches a 7-day streak. The idea stays hidden from the read-only view until then.</t>
        </is>
      </c>
    </row>
    <row r="16">
      <c r="A16" s="7" t="inlineStr">
        <is>
          <t>• (HLR-13) Career / Office / Work has areas switched off: opening it shows its tasks straight away ("Connect with Amex Project - BA", "Learning", …), and a new task is added right there with no area to pick.</t>
        </is>
      </c>
    </row>
    <row r="17">
      <c r="A17" s="7" t="inlineStr">
        <is>
          <t>• (HLR-2, D16) In Household › Kitchen, drag "Wipe the counters" from the bottom to the top: it stays first after a reload, on the phone too, and appears first under Kitchen on the Tasks screen. A newly added task appears at the bottom.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9"/>
  <sheetViews>
    <sheetView zoomScale="100" workbookViewId="0">
      <selection activeCell="A1" sqref="A1"/>
    </sheetView>
  </sheetViews>
  <sheetFormatPr baseColWidth="8" defaultRowHeight="15"/>
  <cols>
    <col width="37" customWidth="1" min="1" max="1"/>
    <col width="70" customWidth="1" min="2" max="2"/>
    <col width="70" customWidth="1" min="3" max="3"/>
    <col width="49" customWidth="1" min="4" max="4"/>
  </cols>
  <sheetData>
    <row r="1">
      <c r="A1" s="4" t="inlineStr">
        <is>
          <t>1. Detailed discovery</t>
        </is>
      </c>
    </row>
    <row r="3">
      <c r="A3" s="13" t="inlineStr">
        <is>
          <t>1.1 Discovery questions and answers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 / decision</t>
        </is>
      </c>
      <c r="D4" s="6" t="inlineStr">
        <is>
          <t>Source</t>
        </is>
      </c>
    </row>
    <row r="5">
      <c r="A5" s="7" t="inlineStr">
        <is>
          <t>Q1</t>
        </is>
      </c>
      <c r="B5" s="7" t="inlineStr">
        <is>
          <t>Which tiles exist and are they editable?</t>
        </is>
      </c>
      <c r="C5" s="7" t="inlineStr">
        <is>
          <t>3 fixed tiles; only areas editable (closed) Superseded by Q15: tiles are fully user-managed</t>
        </is>
      </c>
      <c r="D5" s="7" t="inlineStr">
        <is>
          <t>Brief, revised 2026-09-29</t>
        </is>
      </c>
    </row>
    <row r="6">
      <c r="A6" s="7" t="inlineStr">
        <is>
          <t>Q2</t>
        </is>
      </c>
      <c r="B6" s="7" t="inlineStr">
        <is>
          <t>Household starter list (originally the seed list; now the optional starter set, LLR-1.8)?</t>
        </is>
      </c>
      <c r="C6" s="7" t="inlineStr">
        <is>
          <t>Kitchen, Kitchen Utility Area, Laundry, Master Bathroom, Guest Bathroom, Master Bedroom, Guest Room, Hall, Balcony, Books, Makeup, Wardrobe, Shiragi Toys (13). "Kitchen Utility" dropped as a duplicate</t>
        </is>
      </c>
      <c r="D6" s="7" t="inlineStr">
        <is>
          <t>PO decision, 2026-09-28</t>
        </is>
      </c>
    </row>
    <row r="7">
      <c r="A7" s="7" t="inlineStr">
        <is>
          <t>Q3</t>
        </is>
      </c>
      <c r="B7" s="7" t="inlineStr">
        <is>
          <t>What counts as a streak for weekly tasks?</t>
        </is>
      </c>
      <c r="C7" s="7" t="inlineStr">
        <is>
          <t>Consecutive Monday–Sunday weeks with ≥ 1 completion</t>
        </is>
      </c>
      <c r="D7" s="7" t="inlineStr">
        <is>
          <t>Design decision</t>
        </is>
      </c>
    </row>
    <row r="8">
      <c r="A8" s="7" t="inlineStr">
        <is>
          <t>Q4</t>
        </is>
      </c>
      <c r="B8" s="7" t="inlineStr">
        <is>
          <t>When does a streak break?</t>
        </is>
      </c>
      <c r="C8" s="7" t="inlineStr">
        <is>
          <t>Only after a whole period is missed (done yesterday but not yet today = still alive)</t>
        </is>
      </c>
      <c r="D8" s="7" t="inlineStr">
        <is>
          <t>Design decision</t>
        </is>
      </c>
    </row>
    <row r="9">
      <c r="A9" s="7" t="inlineStr">
        <is>
          <t>Q5</t>
        </is>
      </c>
      <c r="B9" s="7" t="inlineStr">
        <is>
          <t>How can the demo show a streak going up in minutes?</t>
        </is>
      </c>
      <c r="C9" s="7" t="inlineStr">
        <is>
          <t>Backfill: log a completion for yesterday or the day before</t>
        </is>
      </c>
      <c r="D9" s="7" t="inlineStr">
        <is>
          <t>PO accepted</t>
        </is>
      </c>
    </row>
    <row r="10">
      <c r="A10" s="7" t="inlineStr">
        <is>
          <t>Q6</t>
        </is>
      </c>
      <c r="B10" s="7" t="inlineStr">
        <is>
          <t>Do completions before a reward existed count?</t>
        </is>
      </c>
      <c r="C10" s="7" t="inlineStr">
        <is>
          <t>Yes, all completions of tagged tasks count</t>
        </is>
      </c>
      <c r="D10" s="7" t="inlineStr">
        <is>
          <t>Design decision (demo flow)</t>
        </is>
      </c>
    </row>
    <row r="11">
      <c r="A11" s="7" t="inlineStr">
        <is>
          <t>Q7</t>
        </is>
      </c>
      <c r="B11" s="7" t="inlineStr">
        <is>
          <t>Can an unlocked reward re-lock if a streak breaks?</t>
        </is>
      </c>
      <c r="C11" s="7" t="inlineStr">
        <is>
          <t>No, unlock is permanent</t>
        </is>
      </c>
      <c r="D11" s="7" t="inlineStr">
        <is>
          <t>Design decision</t>
        </is>
      </c>
    </row>
    <row r="12">
      <c r="A12" s="7" t="inlineStr">
        <is>
          <t>Q8</t>
        </is>
      </c>
      <c r="B12" s="7" t="inlineStr">
        <is>
          <t>What happens to the old in-site rewards?</t>
        </is>
      </c>
      <c r="C12" s="7" t="inlineStr">
        <is>
          <t>Replaced on #/rewards; old UI and Express/Neo4j routes removed</t>
        </is>
      </c>
      <c r="D12" s="7" t="inlineStr">
        <is>
          <t>PO decision</t>
        </is>
      </c>
    </row>
    <row r="13">
      <c r="A13" s="7" t="inlineStr">
        <is>
          <t>Q9</t>
        </is>
      </c>
      <c r="B13" s="7" t="inlineStr">
        <is>
          <t>Timezone?</t>
        </is>
      </c>
      <c r="C13" s="7" t="inlineStr">
        <is>
          <t>User-local calendar, default Asia/Kolkata (configurable)</t>
        </is>
      </c>
      <c r="D13" s="7" t="inlineStr">
        <is>
          <t>Design decision</t>
        </is>
      </c>
    </row>
    <row r="14">
      <c r="A14" s="7" t="inlineStr">
        <is>
          <t>Q10</t>
        </is>
      </c>
      <c r="B14" s="7" t="inlineStr">
        <is>
          <t>AI in MVP?</t>
        </is>
      </c>
      <c r="C14" s="7" t="inlineStr">
        <is>
          <t>No, post-MVP; the dashboard shows an empty state until then</t>
        </is>
      </c>
      <c r="D14" s="7" t="inlineStr">
        <is>
          <t>PO decision</t>
        </is>
      </c>
    </row>
    <row r="15">
      <c r="A15" s="7" t="inlineStr">
        <is>
          <t>Q11</t>
        </is>
      </c>
      <c r="B15" s="7" t="inlineStr">
        <is>
          <t>Should rewards use the same categories as tasks?</t>
        </is>
      </c>
      <c r="C15" s="7" t="inlineStr">
        <is>
          <t>Yes. A reward belongs to a tile (required) and optionally one area of that tile, the same taxonomy as tasks. This is the reward's *scope*, and tasks are matched to rewards within it</t>
        </is>
      </c>
      <c r="D15" s="7" t="inlineStr">
        <is>
          <t>PO decision, 2026-09-28</t>
        </is>
      </c>
    </row>
    <row r="16">
      <c r="A16" s="7" t="inlineStr">
        <is>
          <t>Q12</t>
        </is>
      </c>
      <c r="B16" s="7" t="inlineStr">
        <is>
          <t>How are tasks matched to a reward?</t>
        </is>
      </c>
      <c r="C16" s="7" t="inlineStr">
        <is>
          <t>Two modes. Selected tasks (default): tag specific tasks, all inside the scope. All tasks in scope: every non-archived task in the area (or tile) counts automatically, including tasks added later</t>
        </is>
      </c>
      <c r="D16" s="7" t="inlineStr">
        <is>
          <t>Design decision, 2026-09-28</t>
        </is>
      </c>
    </row>
    <row r="17">
      <c r="A17" s="7" t="inlineStr">
        <is>
          <t>Q13</t>
        </is>
      </c>
      <c r="B17" s="7" t="inlineStr">
        <is>
          <t>Where is data hosted?</t>
        </is>
      </c>
      <c r="C17" s="7" t="inlineStr">
        <is>
          <t>SQLite on the DigitalOcean droplet (1 GB RAM, 25 GB disk), backed up continuously by Litestream; MFE on Vercel; photos in object storage later</t>
        </is>
      </c>
      <c r="D17" s="7" t="inlineStr">
        <is>
          <t>PO decision, 2026-09-28</t>
        </is>
      </c>
    </row>
    <row r="18">
      <c r="A18" s="7" t="inlineStr">
        <is>
          <t>Q14</t>
        </is>
      </c>
      <c r="B18" s="7" t="inlineStr">
        <is>
          <t>Can schema changes lose existing (test) data?</t>
        </is>
      </c>
      <c r="C18" s="7" t="inlineStr">
        <is>
          <t>No. Every schema change ships as an Alembic migration that upgrades the file in place, with an automatic backup first; export/import to JSON is available for moves</t>
        </is>
      </c>
      <c r="D18" s="7" t="inlineStr">
        <is>
          <t>PO requirement, 2026-09-28</t>
        </is>
      </c>
    </row>
    <row r="19">
      <c r="A19" s="7" t="inlineStr">
        <is>
          <t>Q15</t>
        </is>
      </c>
      <c r="B19" s="7" t="inlineStr">
        <is>
          <t>Should tiles be seeded?</t>
        </is>
      </c>
      <c r="C19" s="7" t="inlineStr">
        <is>
          <t>No. Tiles are user-managed (create, edit, reorder, delete). A fresh install starts empty, with an optional one-click starter set</t>
        </is>
      </c>
      <c r="D19" s="7" t="inlineStr">
        <is>
          <t>PO decision, 2026-09-29</t>
        </is>
      </c>
    </row>
    <row r="20">
      <c r="A20" s="7" t="inlineStr">
        <is>
          <t>Q16</t>
        </is>
      </c>
      <c r="B20" s="7" t="inlineStr">
        <is>
          <t>How structured are the notes and contacts?</t>
        </is>
      </c>
      <c r="C20" s="7" t="inlineStr">
        <is>
          <t>Simple: notes, contacts and files, each with an optional topic (e.g. "Bosch Dishwasher") that groups them. "Past executives" are contacts with the role *Service executive* and a last-visit date</t>
        </is>
      </c>
      <c r="D20" s="7" t="inlineStr">
        <is>
          <t>PO decision, 2026-09-29</t>
        </is>
      </c>
    </row>
    <row r="21">
      <c r="A21" s="7" t="inlineStr">
        <is>
          <t>Q17</t>
        </is>
      </c>
      <c r="B21" s="7" t="inlineStr">
        <is>
          <t>Who can see notes, contacts and files?</t>
        </is>
      </c>
      <c r="C21" s="7" t="inlineStr">
        <is>
          <t>The same as rewards: visible in the read-only view when public reads are on; editing needs the owner passcode. Risk logged in HLRD §9</t>
        </is>
      </c>
      <c r="D21" s="7" t="inlineStr">
        <is>
          <t>PO decision, 2026-09-29</t>
        </is>
      </c>
    </row>
    <row r="22">
      <c r="A22" s="7" t="inlineStr">
        <is>
          <t>Q18</t>
        </is>
      </c>
      <c r="B22" s="7" t="inlineStr">
        <is>
          <t>Can tiles hold notes and contacts, or only areas?</t>
        </is>
      </c>
      <c r="C22" s="7" t="inlineStr">
        <is>
          <t>Both. Home-wide services (e.g. Pest Control) live on the tile; appliance-specific ones on the area (e.g. Kitchen › Bosch Dishwasher)</t>
        </is>
      </c>
      <c r="D22" s="7" t="inlineStr">
        <is>
          <t>PO decision, 2026-09-29</t>
        </is>
      </c>
    </row>
    <row r="23">
      <c r="A23" s="7" t="inlineStr">
        <is>
          <t>Q19</t>
        </is>
      </c>
      <c r="B23" s="7" t="inlineStr">
        <is>
          <t>What does marking a task as a milestone do?</t>
        </is>
      </c>
      <c r="C23" s="7" t="inlineStr">
        <is>
          <t>Three things: a 🏁 badge and a *Milestones* filter (and a dashboard list); a new reward rule *milestone completed*; and a bigger celebration when it's completed</t>
        </is>
      </c>
      <c r="D23" s="7" t="inlineStr">
        <is>
          <t>PO decision, 2026-09-29</t>
        </is>
      </c>
    </row>
    <row r="24">
      <c r="A24" s="7" t="inlineStr">
        <is>
          <t>Q20</t>
        </is>
      </c>
      <c r="B24" s="7" t="inlineStr">
        <is>
          <t>What do "announce" and "keep silent" mean?</t>
        </is>
      </c>
      <c r="C24" s="7" t="inlineStr">
        <is>
          <t>Visibility and celebration. Announced: visible in the read-only view, celebrated on completion with a share prompt. Silent: visible only with the owner passcode, and completed quietly (no toast, no share prompt)</t>
        </is>
      </c>
      <c r="D24" s="7" t="inlineStr">
        <is>
          <t>PO decision, 2026-09-29</t>
        </is>
      </c>
    </row>
    <row r="25">
      <c r="A25" s="7" t="inlineStr">
        <is>
          <t>Q21</t>
        </is>
      </c>
      <c r="B25" s="7" t="inlineStr">
        <is>
          <t>How do "days to complete" and the due date relate?</t>
        </is>
      </c>
      <c r="C25" s="7" t="inlineStr">
        <is>
          <t>They're independent fields, both optional; neither is calculated from the other</t>
        </is>
      </c>
      <c r="D25" s="7" t="inlineStr">
        <is>
          <t>PO decision, 2026-09-29</t>
        </is>
      </c>
    </row>
    <row r="26">
      <c r="A26" s="7" t="inlineStr">
        <is>
          <t>Q22</t>
        </is>
      </c>
      <c r="B26" s="7" t="inlineStr">
        <is>
          <t>What visibility do existing and new tasks get?</t>
        </is>
      </c>
      <c r="C26" s="7" t="inlineStr">
        <is>
          <t>Existing tasks become *Announced* (unchanged behaviour). New tasks default to *Announced*; the add form lets you switch to *Silent*</t>
        </is>
      </c>
      <c r="D26" s="7" t="inlineStr">
        <is>
          <t>Design decision, 2026-09-29 (see O8)</t>
        </is>
      </c>
    </row>
    <row r="27">
      <c r="A27" s="7" t="inlineStr">
        <is>
          <t>Q23</t>
        </is>
      </c>
      <c r="B27" s="7" t="inlineStr">
        <is>
          <t>Where do "things I might get for Shiragi later" go: notes or rewards?</t>
        </is>
      </c>
      <c r="C27" s="7" t="inlineStr">
        <is>
          <t>Rewards, as ideas: a reward in an *Idea* stage with no rule yet. Notes (HLR-10) stay for reference information about a place (contacts, bills)</t>
        </is>
      </c>
      <c r="D27" s="7" t="inlineStr">
        <is>
          <t>PO decision, 2026-09-29</t>
        </is>
      </c>
    </row>
    <row r="28">
      <c r="A28" s="7" t="inlineStr">
        <is>
          <t>Q24</t>
        </is>
      </c>
      <c r="B28" s="7" t="inlineStr">
        <is>
          <t>Should reward ideas be visible in the read-only view?</t>
        </is>
      </c>
      <c r="C28" s="7" t="inlineStr">
        <is>
          <t>No by default: ideas are Silent (hidden without the passcode), so a gift for Shiragi stays a surprise. Each idea or reward can be switched to *Announced*</t>
        </is>
      </c>
      <c r="D28" s="7" t="inlineStr">
        <is>
          <t>Design decision, 2026-09-29</t>
        </is>
      </c>
    </row>
    <row r="29">
      <c r="A29" s="7" t="inlineStr">
        <is>
          <t>Q25</t>
        </is>
      </c>
      <c r="B29" s="7" t="inlineStr">
        <is>
          <t>Who can a reward be for?</t>
        </is>
      </c>
      <c r="C29" s="7" t="inlineStr">
        <is>
          <t>Any person, as a free-text For whom label with suggestions from earlier entries (default "Me"). It's a label only; all editing stays with the owner</t>
        </is>
      </c>
      <c r="D29" s="7" t="inlineStr">
        <is>
          <t>PO decision, 2026-09-29</t>
        </is>
      </c>
    </row>
    <row r="30"/>
    <row r="31">
      <c r="A31" s="13" t="inlineStr">
        <is>
          <t>1.2 Open items</t>
        </is>
      </c>
    </row>
    <row r="32">
      <c r="A32" s="6" t="inlineStr">
        <is>
          <t>#</t>
        </is>
      </c>
      <c r="B32" s="6" t="inlineStr">
        <is>
          <t>Item</t>
        </is>
      </c>
      <c r="C32" s="6" t="inlineStr">
        <is>
          <t>Owner</t>
        </is>
      </c>
      <c r="D32" s="6" t="inlineStr">
        <is>
          <t>Needed by</t>
        </is>
      </c>
    </row>
    <row r="33">
      <c r="A33" s="7" t="inlineStr">
        <is>
          <t>O1</t>
        </is>
      </c>
      <c r="B33" s="7" t="inlineStr">
        <is>
          <t>Hosting choice (closed) Closed by Q13</t>
        </is>
      </c>
      <c r="C33" s="7" t="inlineStr">
        <is>
          <t>PO</t>
        </is>
      </c>
      <c r="D33" s="7" t="inlineStr">
        <is>
          <t>—</t>
        </is>
      </c>
    </row>
    <row r="34">
      <c r="A34" s="7" t="inlineStr">
        <is>
          <t>O5</t>
        </is>
      </c>
      <c r="B34" s="7" t="inlineStr">
        <is>
          <t>Can one reward ever span two tiles (e.g. a treat for Career + Fun)? Current rule: no; create one reward per tile. Revisit if it comes up in real use</t>
        </is>
      </c>
      <c r="C34" s="7" t="inlineStr">
        <is>
          <t>PO</t>
        </is>
      </c>
      <c r="D34" s="7" t="inlineStr">
        <is>
          <t>Built with "no" (HLR-9); revisit after real use</t>
        </is>
      </c>
    </row>
    <row r="35">
      <c r="A35" s="7" t="inlineStr">
        <is>
          <t>O7</t>
        </is>
      </c>
      <c r="B35" s="7" t="inlineStr">
        <is>
          <t>A *milestone completed* reward with several milestone tasks: unlock when all are done (current rule, BR-R25) or when any is done?</t>
        </is>
      </c>
      <c r="C35" s="7" t="inlineStr">
        <is>
          <t>PO</t>
        </is>
      </c>
      <c r="D35" s="7" t="inlineStr">
        <is>
          <t>Built with all (HLR-11); revisit after real use</t>
        </is>
      </c>
    </row>
    <row r="36">
      <c r="A36" s="7" t="inlineStr">
        <is>
          <t>O8</t>
        </is>
      </c>
      <c r="B36" s="7" t="inlineStr">
        <is>
          <t>Should new tasks default to *Silent* instead of *Announced* once the site is public?</t>
        </is>
      </c>
      <c r="C36" s="7" t="inlineStr">
        <is>
          <t>PO</t>
        </is>
      </c>
      <c r="D36" s="7" t="inlineStr">
        <is>
          <t>Before going live</t>
        </is>
      </c>
    </row>
    <row r="37">
      <c r="A37" s="7" t="inlineStr">
        <is>
          <t>O2</t>
        </is>
      </c>
      <c r="B37" s="7" t="inlineStr">
        <is>
          <t>Confirm no data needs migrating from the old Neo4j rewards</t>
        </is>
      </c>
      <c r="C37" s="7" t="inlineStr">
        <is>
          <t>PO</t>
        </is>
      </c>
      <c r="D37" s="7" t="inlineStr">
        <is>
          <t>Before merging to main</t>
        </is>
      </c>
    </row>
    <row r="38">
      <c r="A38" s="7" t="inlineStr">
        <is>
          <t>O3</t>
        </is>
      </c>
      <c r="B38" s="7" t="inlineStr">
        <is>
          <t>Reminder channel for the web (push vs email)</t>
        </is>
      </c>
      <c r="C38" s="7" t="inlineStr">
        <is>
          <t>PO</t>
        </is>
      </c>
      <c r="D38" s="7" t="inlineStr">
        <is>
          <t>Integration phase</t>
        </is>
      </c>
    </row>
    <row r="39">
      <c r="A39" s="7" t="inlineStr">
        <is>
          <t>O4</t>
        </is>
      </c>
      <c r="B39" s="7" t="inlineStr">
        <is>
          <t>Claude model and per-request cost budget for vision</t>
        </is>
      </c>
      <c r="C39" s="7" t="inlineStr">
        <is>
          <t>PO</t>
        </is>
      </c>
      <c r="D39" s="7" t="inlineStr">
        <is>
          <t>Phase 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8"/>
  <sheetViews>
    <sheetView zoomScale="100" workbookViewId="0">
      <selection activeCell="A1" sqref="A1"/>
    </sheetView>
  </sheetViews>
  <sheetFormatPr baseColWidth="8" defaultRowHeight="15"/>
  <cols>
    <col width="23" customWidth="1" min="1" max="1"/>
    <col width="57" customWidth="1" min="2" max="2"/>
    <col width="70" customWidth="1" min="3" max="3"/>
    <col width="16" customWidth="1" min="4" max="4"/>
  </cols>
  <sheetData>
    <row r="1">
      <c r="A1" s="4" t="inlineStr">
        <is>
          <t>2. Feature-level As-Is → To-Be</t>
        </is>
      </c>
    </row>
    <row r="3">
      <c r="A3" s="6" t="inlineStr">
        <is>
          <t>Feature</t>
        </is>
      </c>
      <c r="B3" s="6" t="inlineStr">
        <is>
          <t>As-Is (old in-site rewards)</t>
        </is>
      </c>
      <c r="C3" s="6" t="inlineStr">
        <is>
          <t>To-Be (Rewards MFE)</t>
        </is>
      </c>
      <c r="D3" s="6" t="inlineStr">
        <is>
          <t>LLR</t>
        </is>
      </c>
    </row>
    <row r="4">
      <c r="A4" s="7" t="inlineStr">
        <is>
          <t>Navigation</t>
        </is>
      </c>
      <c r="B4" s="7" t="inlineStr">
        <is>
          <t>Goals / Rewards tabs, modal-heavy</t>
        </is>
      </c>
      <c r="C4" s="7" t="inlineStr">
        <is>
          <t>Tiles → Areas → Area → Task; Rewards tab; deep links #/rewards/...</t>
        </is>
      </c>
      <c r="D4" s="7" t="inlineStr">
        <is>
          <t>LLR-1, LLR-7</t>
        </is>
      </c>
    </row>
    <row r="5">
      <c r="A5" s="7" t="inlineStr">
        <is>
          <t>Categories</t>
        </is>
      </c>
      <c r="B5" s="7" t="inlineStr">
        <is>
          <t>6 fixed + custom categories for goals</t>
        </is>
      </c>
      <c r="C5" s="7" t="inlineStr">
        <is>
          <t>User-managed tiles and areas (create, edit, reorder, delete); empty start with an optional starter set</t>
        </is>
      </c>
      <c r="D5" s="7" t="inlineStr">
        <is>
          <t>LLR-1.x</t>
        </is>
      </c>
    </row>
    <row r="6">
      <c r="A6" s="7" t="inlineStr">
        <is>
          <t>Service records</t>
        </is>
      </c>
      <c r="B6" s="7" t="inlineStr">
        <is>
          <t>None (phone contacts, chats, paper bills)</t>
        </is>
      </c>
      <c r="C6" s="7" t="inlineStr">
        <is>
          <t>Notes, contacts and files on every tile and area, grouped by topic, tap-to-call, search</t>
        </is>
      </c>
      <c r="D6" s="7" t="inlineStr">
        <is>
          <t>LLR-10.x</t>
        </is>
      </c>
    </row>
    <row r="7">
      <c r="A7" s="7" t="inlineStr">
        <is>
          <t>Unit of work</t>
        </is>
      </c>
      <c r="B7" s="7" t="inlineStr">
        <is>
          <t>Goal (title, description, type, target days)</t>
        </is>
      </c>
      <c r="C7" s="7" t="inlineStr">
        <is>
          <t>Task (title, notes, priority, frequency, status, relevance, source)</t>
        </is>
      </c>
      <c r="D7" s="7" t="inlineStr">
        <is>
          <t>LLR-2.x</t>
        </is>
      </c>
    </row>
    <row r="8">
      <c r="A8" s="7" t="inlineStr">
        <is>
          <t>Logging</t>
        </is>
      </c>
      <c r="B8" s="7" t="inlineStr">
        <is>
          <t>"Log today": did it?, duration, note</t>
        </is>
      </c>
      <c r="C8" s="7" t="inlineStr">
        <is>
          <t>Complete now or backfill 1–2 days; note</t>
        </is>
      </c>
      <c r="D8" s="7" t="inlineStr">
        <is>
          <t>LLR-3.x</t>
        </is>
      </c>
    </row>
    <row r="9">
      <c r="A9" s="7" t="inlineStr">
        <is>
          <t>Streak</t>
        </is>
      </c>
      <c r="B9" s="7" t="inlineStr">
        <is>
          <t>Daily streak per goal</t>
        </is>
      </c>
      <c r="C9" s="7" t="inlineStr">
        <is>
          <t>Per task, daily or weekly periods; current + best</t>
        </is>
      </c>
      <c r="D9" s="7" t="inlineStr">
        <is>
          <t>LLR-3.x</t>
        </is>
      </c>
    </row>
    <row r="10">
      <c r="A10" s="7" t="inlineStr">
        <is>
          <t>Milestones</t>
        </is>
      </c>
      <c r="B10" s="7" t="inlineStr">
        <is>
          <t>Day-number milestones per goal</t>
        </is>
      </c>
      <c r="C10" s="7" t="inlineStr">
        <is>
          <t>Any task can be a milestone: 🏁 badge and filter, a *milestone completed* reward rule, a bigger celebration (plus *streak of N* for day counts)</t>
        </is>
      </c>
      <c r="D10" s="7" t="inlineStr">
        <is>
          <t>LLR-11.1–11.4</t>
        </is>
      </c>
    </row>
    <row r="11">
      <c r="A11" s="7" t="inlineStr">
        <is>
          <t>Deadlines and privacy</t>
        </is>
      </c>
      <c r="B11" s="7" t="inlineStr">
        <is>
          <t>Target days per goal; everything visible</t>
        </is>
      </c>
      <c r="C11" s="7" t="inlineStr">
        <is>
          <t>Optional due date and time, days to complete (independent); announce or silent per task</t>
        </is>
      </c>
      <c r="D11" s="7" t="inlineStr">
        <is>
          <t>LLR-11.5–11.12</t>
        </is>
      </c>
    </row>
    <row r="12">
      <c r="A12" s="7" t="inlineStr">
        <is>
          <t>Rewards</t>
        </is>
      </c>
      <c r="B12" s="7" t="inlineStr">
        <is>
          <t>Per goal/milestone, ₹ value, claim → receive</t>
        </is>
      </c>
      <c r="C12" s="7" t="inlineStr">
        <is>
          <t>Many-to-many with tasks; completions or streak rule; auto-unlock; claim</t>
        </is>
      </c>
      <c r="D12" s="7" t="inlineStr">
        <is>
          <t>LLR-4.1–4.8</t>
        </is>
      </c>
    </row>
    <row r="13">
      <c r="A13" s="7" t="inlineStr">
        <is>
          <t>Reward ideas</t>
        </is>
      </c>
      <c r="B13" s="7" t="inlineStr">
        <is>
          <t>Rewards defined only together with a goal</t>
        </is>
      </c>
      <c r="C13" s="7" t="inlineStr">
        <is>
          <t>Capture an idea first (title, photo, link, where seen, for whom), turn it into a reward later or close it as bought/dropped</t>
        </is>
      </c>
      <c r="D13" s="7" t="inlineStr">
        <is>
          <t>LLR-12.x</t>
        </is>
      </c>
    </row>
    <row r="14">
      <c r="A14" s="7" t="inlineStr">
        <is>
          <t>Reward scope</t>
        </is>
      </c>
      <c r="B14" s="7" t="inlineStr">
        <is>
          <t>Reward inherits its goal's category (6 goal categories)</t>
        </is>
      </c>
      <c r="C14" s="7" t="inlineStr">
        <is>
          <t>Reward has its own tile + optional area from the same taxonomy as tasks; tasks matched by scope (selected, or all in scope)</t>
        </is>
      </c>
      <c r="D14" s="7" t="inlineStr">
        <is>
          <t>LLR-4.9–4.18</t>
        </is>
      </c>
    </row>
    <row r="15">
      <c r="A15" s="7" t="inlineStr">
        <is>
          <t>Insights</t>
        </is>
      </c>
      <c r="B15" s="7" t="inlineStr">
        <is>
          <t>3 summary cards</t>
        </is>
      </c>
      <c r="C15" s="7" t="inlineStr">
        <is>
          <t>Streamlit dashboard</t>
        </is>
      </c>
      <c r="D15" s="7" t="inlineStr">
        <is>
          <t>LLR-5.x</t>
        </is>
      </c>
    </row>
    <row r="16">
      <c r="A16" s="7" t="inlineStr">
        <is>
          <t>AI</t>
        </is>
      </c>
      <c r="B16" s="7" t="inlineStr">
        <is>
          <t>—</t>
        </is>
      </c>
      <c r="C16" s="7" t="inlineStr">
        <is>
          <t>Photo → suggestions (⏳)</t>
        </is>
      </c>
      <c r="D16" s="7" t="inlineStr">
        <is>
          <t>LLR-6.x</t>
        </is>
      </c>
    </row>
    <row r="17">
      <c r="A17" s="7" t="inlineStr">
        <is>
          <t>Auth</t>
        </is>
      </c>
      <c r="B17" s="7" t="inlineStr">
        <is>
          <t>Passcode gate (disabled)</t>
        </is>
      </c>
      <c r="C17" s="7" t="inlineStr">
        <is>
          <t>Demo bearer token at the BFF</t>
        </is>
      </c>
      <c r="D17" s="7" t="inlineStr">
        <is>
          <t>LLR-8.x</t>
        </is>
      </c>
    </row>
    <row r="18">
      <c r="A18" s="7" t="inlineStr">
        <is>
          <t>Backend</t>
        </is>
      </c>
      <c r="B18" s="7" t="inlineStr">
        <is>
          <t>Express + Neo4j (/api/rewards)</t>
        </is>
      </c>
      <c r="C18" s="7" t="inlineStr">
        <is>
          <t>FastAPI BFF + SQLite</t>
        </is>
      </c>
      <c r="D18" s="7" t="inlineStr">
        <is>
          <t>LLR-8.x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16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</cols>
  <sheetData>
    <row r="1">
      <c r="A1" s="4" t="inlineStr">
        <is>
          <t>3. Detailed functional requirements</t>
        </is>
      </c>
    </row>
    <row r="3">
      <c r="A3" s="13" t="inlineStr">
        <is>
          <t>LLR-1 Tiles and areas (HLR-1)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Status</t>
        </is>
      </c>
    </row>
    <row r="5">
      <c r="A5" s="7" t="inlineStr">
        <is>
          <t>LLR-1.1</t>
        </is>
      </c>
      <c r="B5" s="7" t="inlineStr">
        <is>
          <t>Superseded by LLR-1.7 (Q15). Was: on first start the system seeds tiles and areas per Q2</t>
        </is>
      </c>
      <c r="C5" s="7" t="inlineStr">
        <is>
          <t>✅ (to be replaced)</t>
        </is>
      </c>
    </row>
    <row r="6">
      <c r="A6" s="7" t="inlineStr">
        <is>
          <t>LLR-1.2</t>
        </is>
      </c>
      <c r="B6" s="7" t="inlineStr">
        <is>
          <t>The tiles screen shows each tile's icon, name, area count and active task count</t>
        </is>
      </c>
      <c r="C6" s="7" t="inlineStr">
        <is>
          <t>🟡</t>
        </is>
      </c>
    </row>
    <row r="7">
      <c r="A7" s="7" t="inlineStr">
        <is>
          <t>LLR-1.3</t>
        </is>
      </c>
      <c r="B7" s="7" t="inlineStr">
        <is>
          <t>The user can add an area to a tile. The name is 1–80 characters, trimmed, and unique within the tile ignoring case</t>
        </is>
      </c>
      <c r="C7" s="7" t="inlineStr">
        <is>
          <t>✅</t>
        </is>
      </c>
    </row>
    <row r="8">
      <c r="A8" s="7" t="inlineStr">
        <is>
          <t>LLR-1.4</t>
        </is>
      </c>
      <c r="B8" s="7" t="inlineStr">
        <is>
          <t>The user can rename an area under the same rules as LLR-1.3</t>
        </is>
      </c>
      <c r="C8" s="7" t="inlineStr">
        <is>
          <t>✅</t>
        </is>
      </c>
    </row>
    <row r="9">
      <c r="A9" s="7" t="inlineStr">
        <is>
          <t>LLR-1.5</t>
        </is>
      </c>
      <c r="B9" s="7" t="inlineStr">
        <is>
          <t>The user can delete an area after confirmation. Its tasks, completions, photos and suggestions are removed with it</t>
        </is>
      </c>
      <c r="C9" s="7" t="inlineStr">
        <is>
          <t>✅</t>
        </is>
      </c>
    </row>
    <row r="10">
      <c r="A10" s="7" t="inlineStr">
        <is>
          <t>LLR-1.6</t>
        </is>
      </c>
      <c r="B10" s="7" t="inlineStr">
        <is>
          <t>The confirmation text states how many active tasks will be deleted</t>
        </is>
      </c>
      <c r="C10" s="7" t="inlineStr">
        <is>
          <t>🟡</t>
        </is>
      </c>
    </row>
    <row r="11"/>
    <row r="12">
      <c r="A12" s="13" t="inlineStr">
        <is>
          <t>User-managed tiles (HLR-1 update) ✅</t>
        </is>
      </c>
    </row>
    <row r="13">
      <c r="A13" s="6" t="inlineStr">
        <is>
          <t>ID</t>
        </is>
      </c>
      <c r="B13" s="6" t="inlineStr">
        <is>
          <t>Requirement</t>
        </is>
      </c>
      <c r="C13" s="6" t="inlineStr">
        <is>
          <t>Status</t>
        </is>
      </c>
    </row>
    <row r="14">
      <c r="A14" s="7" t="inlineStr">
        <is>
          <t>LLR-1.7</t>
        </is>
      </c>
      <c r="B14" s="7" t="inlineStr">
        <is>
          <t>A new database starts with no tiles. The tiles screen shows "Create your first tile" and an optional Add suggested tiles button. Nothing is seeded automatically</t>
        </is>
      </c>
      <c r="C14" s="7" t="inlineStr">
        <is>
          <t>✅</t>
        </is>
      </c>
    </row>
    <row r="15">
      <c r="A15" s="7" t="inlineStr">
        <is>
          <t>LLR-1.8</t>
        </is>
      </c>
      <c r="B15" s="7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C15" s="7" t="inlineStr">
        <is>
          <t>✅</t>
        </is>
      </c>
    </row>
    <row r="16">
      <c r="A16" s="7" t="inlineStr">
        <is>
          <t>LLR-1.9</t>
        </is>
      </c>
      <c r="B16" s="7" t="inlineStr">
        <is>
          <t>Create a tile: name 1–40 characters, trimmed, unique ignoring case (409 on duplicate); icon (one emoji, optional, default 📁). New tiles go to the end</t>
        </is>
      </c>
      <c r="C16" s="7" t="inlineStr">
        <is>
          <t>✅</t>
        </is>
      </c>
    </row>
    <row r="17">
      <c r="A17" s="7" t="inlineStr">
        <is>
          <t>LLR-1.10</t>
        </is>
      </c>
      <c r="B17" s="7" t="inlineStr">
        <is>
          <t>Edit a tile: change its name (same rules) and icon. Areas, tasks, rewards and links keep working, because they refer to the tile's id, not its name</t>
        </is>
      </c>
      <c r="C17" s="7" t="inlineStr">
        <is>
          <t>✅</t>
        </is>
      </c>
    </row>
    <row r="18">
      <c r="A18" s="7" t="inlineStr">
        <is>
          <t>LLR-1.11</t>
        </is>
      </c>
      <c r="B18" s="7" t="inlineStr">
        <is>
          <t>Reorder tiles, and areas within a tile (move up/down; drag on wider screens). The order is saved and used everywhere, including the dashboard</t>
        </is>
      </c>
      <c r="C18" s="7" t="inlineStr">
        <is>
          <t>✅ (up/down; drag on wide screens later)</t>
        </is>
      </c>
    </row>
    <row r="19">
      <c r="A19" s="7" t="inlineStr">
        <is>
          <t>LLR-1.12</t>
        </is>
      </c>
      <c r="B19" s="7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C19" s="7" t="inlineStr">
        <is>
          <t>✅</t>
        </is>
      </c>
    </row>
    <row r="20">
      <c r="A20" s="7" t="inlineStr">
        <is>
          <t>LLR-1.13</t>
        </is>
      </c>
      <c r="B20" s="7" t="inlineStr">
        <is>
          <t>Existing databases keep their current tiles and areas when this ships: the upgrade removes nothing. They become ordinary user-managed tiles that can be edited or deleted</t>
        </is>
      </c>
      <c r="C20" s="7" t="inlineStr">
        <is>
          <t>✅</t>
        </is>
      </c>
    </row>
    <row r="21"/>
    <row r="22">
      <c r="A22" s="13" t="inlineStr">
        <is>
          <t>AC-1.7 to 1.12</t>
        </is>
      </c>
    </row>
    <row r="23">
      <c r="A23" s="7" t="inlineStr">
        <is>
          <t>• *Given* a fresh database *when* the Rewards screen opens *then* it shows "Create your first tile" and no tiles.</t>
        </is>
      </c>
    </row>
    <row r="24">
      <c r="A24" s="7" t="inlineStr">
        <is>
          <t>• *Given* a tile "Home" exists *when* the user presses "Add suggested tiles" *then* Career/Office/Work, Household and Fun are added, "Home" is untouched, and pressing it again adds nothing.</t>
        </is>
      </c>
    </row>
    <row r="25">
      <c r="A25" s="7" t="inlineStr">
        <is>
          <t>• *Given* a tile "Household" exists *when* the user creates "household" *then* it's rejected: "'household' already exists" (409).</t>
        </is>
      </c>
    </row>
    <row r="26">
      <c r="A26" s="7" t="inlineStr">
        <is>
          <t>• *Given* "Household" is renamed to "Home and family" *then* its areas, tasks and rewards are unchanged and deep links still open it.</t>
        </is>
      </c>
    </row>
    <row r="27">
      <c r="A27" s="7" t="inlineStr">
        <is>
          <t>• *Given* the user deletes "Fun" and types "Fun" to confirm *then* Fun, its areas, tasks, completions, scoped rewards and details are removed, and a snapshot exists in data/backups/.</t>
        </is>
      </c>
    </row>
    <row r="28"/>
    <row r="29">
      <c r="A29" s="13" t="inlineStr">
        <is>
          <t>AC-1.3</t>
        </is>
      </c>
    </row>
    <row r="30">
      <c r="A30" s="7" t="inlineStr">
        <is>
          <t>• *Given* Fun contains "Hobbies" *when* the user adds "hobbies" *then* it's rejected with "'hobbies' already exists in this category" (409) and nothing is created.</t>
        </is>
      </c>
    </row>
    <row r="31">
      <c r="A31" s="7" t="inlineStr">
        <is>
          <t>• *Given* an empty name *when* submitted *then* the Add button is disabled and the API rejects it (422).</t>
        </is>
      </c>
    </row>
    <row r="32"/>
    <row r="33">
      <c r="A33" s="13" t="inlineStr">
        <is>
          <t>AC-1.5</t>
        </is>
      </c>
    </row>
    <row r="34">
      <c r="A34" s="7" t="inlineStr">
        <is>
          <t>• *Given* an area with 2 tasks *when* it's deleted and confirmed *then* the area and both tasks return 404 afterwards.</t>
        </is>
      </c>
    </row>
    <row r="35"/>
    <row r="36">
      <c r="A36" s="13" t="inlineStr">
        <is>
          <t>LLR-2 Task management (HLR-2)</t>
        </is>
      </c>
    </row>
    <row r="37">
      <c r="A37" s="6" t="inlineStr">
        <is>
          <t>ID</t>
        </is>
      </c>
      <c r="B37" s="6" t="inlineStr">
        <is>
          <t>Requirement</t>
        </is>
      </c>
      <c r="C37" s="6" t="inlineStr">
        <is>
          <t>Status</t>
        </is>
      </c>
    </row>
    <row r="38">
      <c r="A38" s="7" t="inlineStr">
        <is>
          <t>LLR-2.1</t>
        </is>
      </c>
      <c r="B38" s="7" t="inlineStr">
        <is>
          <t>Create a task with title (1–200 characters, required), notes (≤ 2000) and frequency (daily/weekly/one_off, default weekly). Source = manual; status = active; relevance = relevant. No priority is asked for: a new task goes to the bottom of its area's list (D16, BR-R32)</t>
        </is>
      </c>
      <c r="C38" s="7" t="inlineStr">
        <is>
          <t>✅</t>
        </is>
      </c>
    </row>
    <row r="39">
      <c r="A39" s="7" t="inlineStr">
        <is>
          <t>LLR-2.2</t>
        </is>
      </c>
      <c r="B39" s="7" t="inlineStr">
        <is>
          <t>After creating a task, the form keeps the chosen frequency for the next entry and clears the title and notes</t>
        </is>
      </c>
      <c r="C39" s="7" t="inlineStr">
        <is>
          <t>🟡</t>
        </is>
      </c>
    </row>
    <row r="40">
      <c r="A40" s="7" t="inlineStr">
        <is>
          <t>LLR-2.3</t>
        </is>
      </c>
      <c r="B40" s="7" t="inlineStr">
        <is>
          <t>An area's (or a tile without areas') task list is in the user's own order: top = most important, bottom = least (BR-R32)</t>
        </is>
      </c>
      <c r="C40" s="7" t="inlineStr">
        <is>
          <t>✅</t>
        </is>
      </c>
    </row>
    <row r="41">
      <c r="A41" s="7" t="inlineStr">
        <is>
          <t>LLR-2.4</t>
        </is>
      </c>
      <c r="B41" s="7" t="inlineStr">
        <is>
          <t>Filter by status, relevance, milestone and due (overdue / today / this week), singly or combined. The default view is status = active. The priority filter is removed</t>
        </is>
      </c>
      <c r="C41" s="7" t="inlineStr">
        <is>
          <t>✅</t>
        </is>
      </c>
    </row>
    <row r="42">
      <c r="A42" s="7" t="inlineStr">
        <is>
          <t>LLR-2.5</t>
        </is>
      </c>
      <c r="B42" s="7" t="inlineStr">
        <is>
          <t>Drag to reorder: each task row has a ⠿ handle that works with mouse and touch (phone); the new order is saved at once (PUT /areas/{id}/tasks/order). Keyboard and screen-reader users get *Move up* / *Move down* on the handle (arrow keys). Replaces the inline High/Med/Low select</t>
        </is>
      </c>
      <c r="C42" s="7" t="inlineStr">
        <is>
          <t>✅</t>
        </is>
      </c>
    </row>
    <row r="43">
      <c r="A43" s="7" t="inlineStr">
        <is>
          <t>LLR-2.6</t>
        </is>
      </c>
      <c r="B43" s="7" t="inlineStr">
        <is>
          <t>Change frequency, status (active/done/archived) and relevance from task detail</t>
        </is>
      </c>
      <c r="C43" s="7" t="inlineStr">
        <is>
          <t>✅</t>
        </is>
      </c>
    </row>
    <row r="44">
      <c r="A44" s="7" t="inlineStr">
        <is>
          <t>LLR-2.7</t>
        </is>
      </c>
      <c r="B44" s="7" t="inlineStr">
        <is>
          <t>An empty list says "No tasks yet" with the default filter and "No tasks match these filters" otherwise</t>
        </is>
      </c>
      <c r="C44" s="7" t="inlineStr">
        <is>
          <t>🟡</t>
        </is>
      </c>
    </row>
    <row r="45">
      <c r="A45" s="7" t="inlineStr">
        <is>
          <t>LLR-2.8</t>
        </is>
      </c>
      <c r="B45" s="7" t="inlineStr">
        <is>
          <t>Null values in updates are rejected (422); unknown enum values are rejected (422)</t>
        </is>
      </c>
      <c r="C45" s="7" t="inlineStr">
        <is>
          <t>✅</t>
        </is>
      </c>
    </row>
    <row r="46">
      <c r="A46" s="7" t="inlineStr">
        <is>
          <t>LLR-2.9</t>
        </is>
      </c>
      <c r="B46" s="7" t="inlineStr">
        <is>
          <t>A cross-area list of active tasks, grouped by area, is available for the reward task picker</t>
        </is>
      </c>
      <c r="C46" s="7" t="inlineStr">
        <is>
          <t>✅</t>
        </is>
      </c>
    </row>
    <row r="47">
      <c r="A47" s="7" t="inlineStr">
        <is>
          <t>LLR-2.11</t>
        </is>
      </c>
      <c r="B47" s="7" t="inlineStr">
        <is>
          <t>Dragging is available only in the default view (active tasks, no filters, *My order*). With a filter or *Sort by due date* on, the list shows a note "Clear filters to reorder" and has no handles, so the saved order is never changed by accident</t>
        </is>
      </c>
      <c r="C47" s="7" t="inlineStr">
        <is>
          <t>✅</t>
        </is>
      </c>
    </row>
    <row r="48">
      <c r="A48" s="7" t="inlineStr">
        <is>
          <t>LLR-2.12</t>
        </is>
      </c>
      <c r="B48" s="7" t="inlineStr">
        <is>
          <t>The order is shared by every list of the area's tasks: the area tab, the Tasks screen (each area group in its own order, areas in tile › area order) and the Link screen's task picker</t>
        </is>
      </c>
      <c r="C48" s="7" t="inlineStr">
        <is>
          <t>✅</t>
        </is>
      </c>
    </row>
    <row r="49">
      <c r="A49" s="7" t="inlineStr">
        <is>
          <t>LLR-2.13</t>
        </is>
      </c>
      <c r="B49" s="7" t="inlineStr">
        <is>
          <t>A task moved to another tile or area (LLR-13.7) goes to the bottom there. A done or archived task keeps its place; if reactivated it reappears where it was</t>
        </is>
      </c>
      <c r="C49" s="7" t="inlineStr">
        <is>
          <t>✅</t>
        </is>
      </c>
    </row>
    <row r="50">
      <c r="A50" s="7" t="inlineStr">
        <is>
          <t>LLR-2.14</t>
        </is>
      </c>
      <c r="B50" s="7" t="inlineStr">
        <is>
          <t>Existing data is kept: migration adds tasks.sort_order, initialised per area from today's order (priority high → low, then creation time), with a backup first. The old priority value stays in the database and the JSON export but is no longer shown or used</t>
        </is>
      </c>
      <c r="C50" s="7" t="inlineStr">
        <is>
          <t>✅</t>
        </is>
      </c>
    </row>
    <row r="51">
      <c r="A51" s="7" t="inlineStr">
        <is>
          <t>LLR-2.10</t>
        </is>
      </c>
      <c r="B51" s="7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C51" s="7" t="inlineStr">
        <is>
          <t>✅</t>
        </is>
      </c>
    </row>
    <row r="52"/>
    <row r="53">
      <c r="A53" s="13" t="inlineStr">
        <is>
          <t>AC-2.3 / 2.5 (D16)</t>
        </is>
      </c>
    </row>
    <row r="54">
      <c r="A54" s="7" t="inlineStr">
        <is>
          <t>• *Given* tasks A, B, C in that order *when* the user drags C above A *then* the list shows C, A, B, and still does after a reload and on another device.</t>
        </is>
      </c>
    </row>
    <row r="55">
      <c r="A55" s="7" t="inlineStr">
        <is>
          <t>• *Given* the same area *when* the user adds task D *then* D is last.</t>
        </is>
      </c>
    </row>
    <row r="56">
      <c r="A56" s="7" t="inlineStr">
        <is>
          <t>• *Given* *Sort by due date* is on *then* there are no drag handles and the saved order is unchanged.</t>
        </is>
      </c>
    </row>
    <row r="57">
      <c r="A57" s="7" t="inlineStr">
        <is>
          <t>• *Given* an existing area whose tasks were High, Low, Medium (created in that order) *when* the migration runs *then* the order is High, Medium, Low.</t>
        </is>
      </c>
    </row>
    <row r="58"/>
    <row r="59">
      <c r="A59" s="13" t="inlineStr">
        <is>
          <t>AC-2.4</t>
        </is>
      </c>
    </row>
    <row r="60">
      <c r="A60" s="7" t="inlineStr">
        <is>
          <t>• *Given* one task is archived *when* filtering status = active *then* only the other task shows.</t>
        </is>
      </c>
    </row>
    <row r="61"/>
    <row r="62">
      <c r="A62" s="13" t="inlineStr">
        <is>
          <t>Business rules: task order (D16)</t>
        </is>
      </c>
    </row>
    <row r="63">
      <c r="A63" s="6" t="inlineStr">
        <is>
          <t>ID</t>
        </is>
      </c>
      <c r="B63" s="6" t="inlineStr">
        <is>
          <t>Rule</t>
        </is>
      </c>
    </row>
    <row r="64">
      <c r="A64" s="7" t="inlineStr">
        <is>
          <t>BR-R32</t>
        </is>
      </c>
      <c r="B64" s="7" t="inlineStr">
        <is>
          <t>Each area (or tile without areas) has one task order, set only by the user: top = most important. Nothing reorders tasks automatically: not adding (goes last), completing, editing, filtering or sorting by due date. A reorder must list every active task of the area exactly once</t>
        </is>
      </c>
    </row>
    <row r="65"/>
    <row r="66">
      <c r="A66" s="13" t="inlineStr">
        <is>
          <t>LLR-3 Completion, activity log and streaks (HLR-3)</t>
        </is>
      </c>
    </row>
    <row r="67">
      <c r="A67" s="6" t="inlineStr">
        <is>
          <t>ID</t>
        </is>
      </c>
      <c r="B67" s="6" t="inlineStr">
        <is>
          <t>Requirement</t>
        </is>
      </c>
      <c r="C67" s="6" t="inlineStr">
        <is>
          <t>Status</t>
        </is>
      </c>
    </row>
    <row r="68">
      <c r="A68" s="7" t="inlineStr">
        <is>
          <t>LLR-3.1</t>
        </is>
      </c>
      <c r="B68" s="7" t="inlineStr">
        <is>
          <t>Complete an active task, optionally with a note (≤ 1000) and a time (completedAt). If no time is given, the time is now</t>
        </is>
      </c>
      <c r="C68" s="7" t="inlineStr">
        <is>
          <t>✅</t>
        </is>
      </c>
    </row>
    <row r="69">
      <c r="A69" s="7" t="inlineStr">
        <is>
          <t>LLR-3.2</t>
        </is>
      </c>
      <c r="B69" s="7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C69" s="7" t="inlineStr">
        <is>
          <t>🟡</t>
        </is>
      </c>
    </row>
    <row r="70">
      <c r="A70" s="7" t="inlineStr">
        <is>
          <t>LLR-3.3</t>
        </is>
      </c>
      <c r="B70" s="7" t="inlineStr">
        <is>
          <t>A completion more than 1 minute in the future is rejected (422)</t>
        </is>
      </c>
      <c r="C70" s="7" t="inlineStr">
        <is>
          <t>✅</t>
        </is>
      </c>
    </row>
    <row r="71">
      <c r="A71" s="7" t="inlineStr">
        <is>
          <t>LLR-3.4</t>
        </is>
      </c>
      <c r="B71" s="7" t="inlineStr">
        <is>
          <t>Completing a one-off task sets it to done. Further completions are rejected (409)</t>
        </is>
      </c>
      <c r="C71" s="7" t="inlineStr">
        <is>
          <t>✅</t>
        </is>
      </c>
    </row>
    <row r="72">
      <c r="A72" s="7" t="inlineStr">
        <is>
          <t>LLR-3.5</t>
        </is>
      </c>
      <c r="B72" s="7" t="inlineStr">
        <is>
          <t>Completing a done or archived task is rejected with a message naming its status (409)</t>
        </is>
      </c>
      <c r="C72" s="7" t="inlineStr">
        <is>
          <t>✅</t>
        </is>
      </c>
    </row>
    <row r="73">
      <c r="A73" s="7" t="inlineStr">
        <is>
          <t>LLR-3.6</t>
        </is>
      </c>
      <c r="B73" s="7" t="inlineStr">
        <is>
          <t>The activity log lists completions newest first, with local date/time and note</t>
        </is>
      </c>
      <c r="C73" s="7" t="inlineStr">
        <is>
          <t>✅</t>
        </is>
      </c>
    </row>
    <row r="74">
      <c r="A74" s="7" t="inlineStr">
        <is>
          <t>LLR-3.7</t>
        </is>
      </c>
      <c r="B74" s="7" t="inlineStr">
        <is>
          <t>Each task shows completion count, current streak, best streak and last completion time</t>
        </is>
      </c>
      <c r="C74" s="7" t="inlineStr">
        <is>
          <t>✅</t>
        </is>
      </c>
    </row>
    <row r="75">
      <c r="A75" s="7" t="inlineStr">
        <is>
          <t>LLR-3.8</t>
        </is>
      </c>
      <c r="B75" s="7" t="inlineStr">
        <is>
          <t>The area list offers a one-tap ✓ complete (now) for active tasks</t>
        </is>
      </c>
      <c r="C75" s="7" t="inlineStr">
        <is>
          <t>🟡</t>
        </is>
      </c>
    </row>
    <row r="76"/>
    <row r="77">
      <c r="A77" s="13" t="inlineStr">
        <is>
          <t>Business rules: streaks</t>
        </is>
      </c>
    </row>
    <row r="78">
      <c r="A78" s="6" t="inlineStr">
        <is>
          <t>ID</t>
        </is>
      </c>
      <c r="B78" s="6" t="inlineStr">
        <is>
          <t>Rule</t>
        </is>
      </c>
    </row>
    <row r="79">
      <c r="A79" s="7" t="inlineStr">
        <is>
          <t>BR-R1</t>
        </is>
      </c>
      <c r="B79" s="7" t="inlineStr">
        <is>
          <t>A period is a local calendar day (daily) or a Monday–Sunday week (weekly) in BFF_TIMEZONE</t>
        </is>
      </c>
    </row>
    <row r="80">
      <c r="A80" s="7" t="inlineStr">
        <is>
          <t>BR-R2</t>
        </is>
      </c>
      <c r="B80" s="7" t="inlineStr">
        <is>
          <t>Several completions in one period count once towards the streak (they all count towards completion count)</t>
        </is>
      </c>
    </row>
    <row r="81">
      <c r="A81" s="7" t="inlineStr">
        <is>
          <t>BR-R3</t>
        </is>
      </c>
      <c r="B81" s="7" t="inlineStr">
        <is>
          <t>Best streak = longest run of consecutive periods with ≥ 1 completion</t>
        </is>
      </c>
    </row>
    <row r="82">
      <c r="A82" s="7" t="inlineStr">
        <is>
          <t>BR-R4</t>
        </is>
      </c>
      <c r="B82" s="7" t="inlineStr">
        <is>
          <t>Current streak = the run ending at the latest completed period, if that period is the current or the previous one; otherwise 0</t>
        </is>
      </c>
    </row>
    <row r="83">
      <c r="A83" s="7" t="inlineStr">
        <is>
          <t>BR-R5</t>
        </is>
      </c>
      <c r="B83" s="7" t="inlineStr">
        <is>
          <t>One-off tasks: streak = 1 once completed, else 0 (not shown as an active streak)</t>
        </is>
      </c>
    </row>
    <row r="84">
      <c r="A84" s="7" t="inlineStr">
        <is>
          <t>BR-R6</t>
        </is>
      </c>
      <c r="B84" s="7" t="inlineStr">
        <is>
          <t>Streaks are derived from the activity log on every read (never stored)</t>
        </is>
      </c>
    </row>
    <row r="85"/>
    <row r="86">
      <c r="A86" s="13" t="inlineStr">
        <is>
          <t>AC-3 (streak)</t>
        </is>
      </c>
    </row>
    <row r="87">
      <c r="A87" s="7" t="inlineStr">
        <is>
          <t>• *Given* a daily task *when* completed yesterday and then today *then* current = 2 and best = 2.</t>
        </is>
      </c>
    </row>
    <row r="88">
      <c r="A88" s="7" t="inlineStr">
        <is>
          <t>• *Given* the same task completed again today *then* current stays 2 and completion count becomes 3.</t>
        </is>
      </c>
    </row>
    <row r="89">
      <c r="A89" s="7" t="inlineStr">
        <is>
          <t>• *Given* last completion 2 days ago (none yesterday) *then* current = 0 and best keeps its value.</t>
        </is>
      </c>
    </row>
    <row r="90">
      <c r="A90" s="7" t="inlineStr">
        <is>
          <t>• *Given* a weekly task done this Monday and last Sunday *then* current = 2 (different weeks).</t>
        </is>
      </c>
    </row>
    <row r="91"/>
    <row r="92">
      <c r="A92" s="13" t="inlineStr">
        <is>
          <t>LLR-4 Rewards (HLR-4)</t>
        </is>
      </c>
    </row>
    <row r="93">
      <c r="A93" s="6" t="inlineStr">
        <is>
          <t>ID</t>
        </is>
      </c>
      <c r="B93" s="6" t="inlineStr">
        <is>
          <t>Requirement</t>
        </is>
      </c>
      <c r="C93" s="6" t="inlineStr">
        <is>
          <t>Status</t>
        </is>
      </c>
    </row>
    <row r="94">
      <c r="A94" s="7" t="inlineStr">
        <is>
          <t>LLR-4.1</t>
        </is>
      </c>
      <c r="B94" s="7" t="inlineStr">
        <is>
          <t>Create a reward: title (1–200, required), description (≤ 2000), image URL (≤ 500, optional), rule type (completions or streak), threshold N (1–365), tagged tasks (optional)</t>
        </is>
      </c>
      <c r="C94" s="7" t="inlineStr">
        <is>
          <t>✅</t>
        </is>
      </c>
    </row>
    <row r="95">
      <c r="A95" s="7" t="inlineStr">
        <is>
          <t>LLR-4.2</t>
        </is>
      </c>
      <c r="B95" s="7" t="inlineStr">
        <is>
          <t>Tag or untag tasks as a full replacement of the set. Unknown task ids are rejected (422)</t>
        </is>
      </c>
      <c r="C95" s="7" t="inlineStr">
        <is>
          <t>✅</t>
        </is>
      </c>
    </row>
    <row r="96">
      <c r="A96" s="7" t="inlineStr">
        <is>
          <t>LLR-4.3</t>
        </is>
      </c>
      <c r="B96" s="7" t="inlineStr">
        <is>
          <t>Tag a task to a locked reward from the task detail screen</t>
        </is>
      </c>
      <c r="C96" s="7" t="inlineStr">
        <is>
          <t>🟡</t>
        </is>
      </c>
    </row>
    <row r="97">
      <c r="A97" s="7" t="inlineStr">
        <is>
          <t>LLR-4.4</t>
        </is>
      </c>
      <c r="B97" s="7" t="inlineStr">
        <is>
          <t>Show each reward's rule text, progress (current / target, %), status and tagged tasks</t>
        </is>
      </c>
      <c r="C97" s="7" t="inlineStr">
        <is>
          <t>✅</t>
        </is>
      </c>
    </row>
    <row r="98">
      <c r="A98" s="7" t="inlineStr">
        <is>
          <t>LLR-4.5</t>
        </is>
      </c>
      <c r="B98" s="7" t="inlineStr">
        <is>
          <t>Filter the rewards list by status</t>
        </is>
      </c>
      <c r="C98" s="7" t="inlineStr">
        <is>
          <t>✅</t>
        </is>
      </c>
    </row>
    <row r="99">
      <c r="A99" s="7" t="inlineStr">
        <is>
          <t>LLR-4.6</t>
        </is>
      </c>
      <c r="B99" s="7" t="inlineStr">
        <is>
          <t>Claim is only possible when the status is unlocked. Claiming a locked reward is rejected (409). Claiming an already claimed reward changes nothing</t>
        </is>
      </c>
      <c r="C99" s="7" t="inlineStr">
        <is>
          <t>✅</t>
        </is>
      </c>
    </row>
    <row r="100">
      <c r="A100" s="7" t="inlineStr">
        <is>
          <t>LLR-4.7</t>
        </is>
      </c>
      <c r="B100" s="7" t="inlineStr">
        <is>
          <t>When a completion unlocks a reward, the completion response includes it and the UI shows a celebration toast</t>
        </is>
      </c>
      <c r="C100" s="7" t="inlineStr">
        <is>
          <t>✅</t>
        </is>
      </c>
    </row>
    <row r="101">
      <c r="A101" s="7" t="inlineStr">
        <is>
          <t>LLR-4.8</t>
        </is>
      </c>
      <c r="B101" s="7" t="inlineStr">
        <is>
          <t>Editing a reward's tasks is only offered while it's locked</t>
        </is>
      </c>
      <c r="C101" s="7" t="inlineStr">
        <is>
          <t>🟡</t>
        </is>
      </c>
    </row>
    <row r="102"/>
    <row r="103">
      <c r="A103" s="13" t="inlineStr">
        <is>
          <t>Rewards, areas and links (HLR-9, revised 2026-09-30) ✅</t>
        </is>
      </c>
    </row>
    <row r="104">
      <c r="A104" s="6" t="inlineStr">
        <is>
          <t>ID</t>
        </is>
      </c>
      <c r="B104" s="6" t="inlineStr">
        <is>
          <t>Requirement</t>
        </is>
      </c>
      <c r="C104" s="6" t="inlineStr">
        <is>
          <t>Status</t>
        </is>
      </c>
    </row>
    <row r="105">
      <c r="A105" s="7" t="inlineStr">
        <is>
          <t>LLR-4.9</t>
        </is>
      </c>
      <c r="B105" s="7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C105" s="7" t="inlineStr">
        <is>
          <t>✅</t>
        </is>
      </c>
    </row>
    <row r="106">
      <c r="A106" s="7" t="inlineStr">
        <is>
          <t>LLR-4.10</t>
        </is>
      </c>
      <c r="B106" s="7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C106" s="7" t="inlineStr">
        <is>
          <t>✅</t>
        </is>
      </c>
    </row>
    <row r="107">
      <c r="A107" s="7" t="inlineStr">
        <is>
          <t>LLR-4.11</t>
        </is>
      </c>
      <c r="B107" s="7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C107" s="7" t="inlineStr">
        <is>
          <t>✅</t>
        </is>
      </c>
    </row>
    <row r="108">
      <c r="A108" s="7" t="inlineStr">
        <is>
          <t>LLR-4.12</t>
        </is>
      </c>
      <c r="B108" s="7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C108" s="7" t="inlineStr">
        <is>
          <t>✅</t>
        </is>
      </c>
    </row>
    <row r="109">
      <c r="A109" s="7" t="inlineStr">
        <is>
          <t>LLR-4.13</t>
        </is>
      </c>
      <c r="B109" s="7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C109" s="7" t="inlineStr">
        <is>
          <t>✅</t>
        </is>
      </c>
    </row>
    <row r="110">
      <c r="A110" s="7" t="inlineStr">
        <is>
          <t>LLR-4.14</t>
        </is>
      </c>
      <c r="B110" s="7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C110" s="7" t="inlineStr">
        <is>
          <t>✅</t>
        </is>
      </c>
    </row>
    <row r="111">
      <c r="A111" s="7" t="inlineStr">
        <is>
          <t>LLR-4.15</t>
        </is>
      </c>
      <c r="B111" s="7" t="inlineStr">
        <is>
          <t>On task detail, the *Rewards* card lists the rewards the task counts for (links to each reward) and *+ Link to a reward* opens the Link screen with this task picked</t>
        </is>
      </c>
      <c r="C111" s="7" t="inlineStr">
        <is>
          <t>✅</t>
        </is>
      </c>
    </row>
    <row r="112">
      <c r="A112" s="7" t="inlineStr">
        <is>
          <t>LLR-4.16</t>
        </is>
      </c>
      <c r="B112" s="7" t="inlineStr">
        <is>
          <t>N can be changed only while the reward is locked; lowering it re-checks the rule at once. A reward whose linked tasks already meet N unlocks as soon as it's linked</t>
        </is>
      </c>
      <c r="C112" s="7" t="inlineStr">
        <is>
          <t>✅</t>
        </is>
      </c>
    </row>
    <row r="113">
      <c r="A113" s="7" t="inlineStr">
        <is>
          <t>LLR-4.17</t>
        </is>
      </c>
      <c r="B113" s="7" t="inlineStr">
        <is>
          <t>Moving a reward to another area, or out of any area, never changes its links</t>
        </is>
      </c>
      <c r="C113" s="7" t="inlineStr">
        <is>
          <t>✅</t>
        </is>
      </c>
    </row>
    <row r="114">
      <c r="A114" s="7" t="inlineStr">
        <is>
          <t>LLR-4.18</t>
        </is>
      </c>
      <c r="B114" s="7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C114" s="7" t="inlineStr">
        <is>
          <t>✅</t>
        </is>
      </c>
    </row>
    <row r="115"/>
    <row r="116">
      <c r="A116" s="13" t="inlineStr">
        <is>
          <t>Business rules: rewards</t>
        </is>
      </c>
    </row>
    <row r="117">
      <c r="A117" s="6" t="inlineStr">
        <is>
          <t>ID</t>
        </is>
      </c>
      <c r="B117" s="6" t="inlineStr">
        <is>
          <t>Rule</t>
        </is>
      </c>
    </row>
    <row r="118">
      <c r="A118" s="7" t="inlineStr">
        <is>
          <t>BR-R7</t>
        </is>
      </c>
      <c r="B118" s="7" t="inlineStr">
        <is>
          <t>*Completions* rule progress = total completions of all tagged tasks (all-time)</t>
        </is>
      </c>
    </row>
    <row r="119">
      <c r="A119" s="7" t="inlineStr">
        <is>
          <t>BR-R8</t>
        </is>
      </c>
      <c r="B119" s="7" t="inlineStr">
        <is>
          <t>*Streak* rule progress = the highest current streak among tagged tasks</t>
        </is>
      </c>
    </row>
    <row r="120">
      <c r="A120" s="7" t="inlineStr">
        <is>
          <t>BR-R9</t>
        </is>
      </c>
      <c r="B120" s="7" t="inlineStr">
        <is>
          <t>The unlock check runs on task completion, reward creation, reward update and tag change</t>
        </is>
      </c>
    </row>
    <row r="121">
      <c r="A121" s="7" t="inlineStr">
        <is>
          <t>BR-R10</t>
        </is>
      </c>
      <c r="B121" s="7" t="inlineStr">
        <is>
          <t>Status flow locked → unlocked → claimed only; there's no path back</t>
        </is>
      </c>
    </row>
    <row r="122">
      <c r="A122" s="7" t="inlineStr">
        <is>
          <t>BR-R11</t>
        </is>
      </c>
      <c r="B122" s="7" t="inlineStr">
        <is>
          <t>Unlocked and claimed rewards always show 100 %</t>
        </is>
      </c>
    </row>
    <row r="123">
      <c r="A123" s="7" t="inlineStr">
        <is>
          <t>BR-R12</t>
        </is>
      </c>
      <c r="B123" s="7" t="inlineStr">
        <is>
          <t>Scope containment. A task is in a reward's scope when the task's area belongs to the reward's tile and, if the reward has an area, the task's area *is* that area</t>
        </is>
      </c>
    </row>
    <row r="124">
      <c r="A124" s="7" t="inlineStr">
        <is>
          <t>BR-R13</t>
        </is>
      </c>
      <c r="B124" s="7" t="inlineStr">
        <is>
          <t>Matched tasks. *Selected tasks*: the tagged tasks (all in scope). *All tasks in scope*: every task in scope whose status isn't archived. BR-R7 and BR-R8 compute progress over the matched tasks</t>
        </is>
      </c>
    </row>
    <row r="125">
      <c r="A125" s="7" t="inlineStr">
        <is>
          <t>BR-R14</t>
        </is>
      </c>
      <c r="B125" s="7" t="inlineStr">
        <is>
          <t>In *All tasks in scope* mode, tags are ignored for progress (they're kept, so switching back to *Selected tasks* restores them)</t>
        </is>
      </c>
    </row>
    <row r="126">
      <c r="A126" s="7" t="inlineStr">
        <is>
          <t>BR-R15</t>
        </is>
      </c>
      <c r="B126" s="7" t="inlineStr">
        <is>
          <t>The unlock check (BR-R9) on completion evaluates every locked reward that matches the completed task, whether tagged or by scope</t>
        </is>
      </c>
    </row>
    <row r="127">
      <c r="A127" s="7" t="inlineStr">
        <is>
          <t>BR-R16</t>
        </is>
      </c>
      <c r="B127" s="7" t="inlineStr">
        <is>
          <t>A reward marked *Needs a tile* (LLR-4.18) still shows progress from its tags, but can't be edited until a tile is chosen. It never unlocks from tasks outside the tile the user then picks</t>
        </is>
      </c>
    </row>
    <row r="128"/>
    <row r="129">
      <c r="A129" s="13" t="inlineStr">
        <is>
          <t>AC-4b (scope and matching)</t>
        </is>
      </c>
    </row>
    <row r="130">
      <c r="A130" s="7" t="inlineStr">
        <is>
          <t>• *Given* a reward scoped to Household › Kitchen *when* the user tries to tag the Laundry task *then* it's rejected: "“Wash whites” isn't in Household › Kitchen" (422).</t>
        </is>
      </c>
    </row>
    <row r="131">
      <c r="A131" s="7" t="inlineStr">
        <is>
          <t>• *Given* a reward "Weekend brunch" scoped to Household with *All tasks in scope*, 3 completions *when* the user completes any Household task (Kitchen or Laundry) *then* progress counts it without tagging. A Career task never counts.</t>
        </is>
      </c>
    </row>
    <row r="132">
      <c r="A132" s="7" t="inlineStr">
        <is>
          <t>• *Given* a new Kitchen task is created after the reward *when* it's completed *then* it counts towards the Household reward immediately.</t>
        </is>
      </c>
    </row>
    <row r="133">
      <c r="A133" s="7" t="inlineStr">
        <is>
          <t>• *Given* the Kitchen area screen *then* "Rewards you can earn here" lists rewards scoped to Household › Kitchen and to Household, not Fun or Household › Laundry.</t>
        </is>
      </c>
    </row>
    <row r="134">
      <c r="A134" s="7" t="inlineStr">
        <is>
          <t>• *Given* an existing reward tagged only to Kitchen tasks *when* the migration runs *then* its scope becomes Household › Kitchen, and its tags, progress and status are unchanged.</t>
        </is>
      </c>
    </row>
    <row r="135">
      <c r="A135" s="7" t="inlineStr">
        <is>
          <t>• *Given* the Kitchen area is deleted *then* a reward scoped to Household › Kitchen becomes scoped to Household and keeps its status.</t>
        </is>
      </c>
    </row>
    <row r="136"/>
    <row r="137">
      <c r="A137" s="13" t="inlineStr">
        <is>
          <t>AC-4 (demo flow)</t>
        </is>
      </c>
    </row>
    <row r="138">
      <c r="A138" s="7" t="inlineStr">
        <is>
          <t>• *Given* a task with 2 completions and a locked "3 completions" reward *when* the reward is tagged to the task *then* progress = 2/3 (67 %).</t>
        </is>
      </c>
    </row>
    <row r="139">
      <c r="A139" s="7" t="inlineStr">
        <is>
          <t>• *When* the task is completed once more *then* the response lists the reward as unlocked and the UI shows "🎉 Reward unlocked: &lt;title&gt;".</t>
        </is>
      </c>
    </row>
    <row r="140">
      <c r="A140" s="7" t="inlineStr">
        <is>
          <t>• *When* the user claims it *then* the status is claimed and claimedAt is set.</t>
        </is>
      </c>
    </row>
    <row r="141"/>
    <row r="142">
      <c r="A142" s="13" t="inlineStr">
        <is>
          <t>LLR-5 Insights dashboard (HLR-5)</t>
        </is>
      </c>
    </row>
    <row r="143">
      <c r="A143" s="6" t="inlineStr">
        <is>
          <t>ID</t>
        </is>
      </c>
      <c r="B143" s="6" t="inlineStr">
        <is>
          <t>Requirement</t>
        </is>
      </c>
      <c r="C143" s="6" t="inlineStr">
        <is>
          <t>Status</t>
        </is>
      </c>
    </row>
    <row r="144">
      <c r="A144" s="7" t="inlineStr">
        <is>
          <t>LLR-5.1</t>
        </is>
      </c>
      <c r="B144" s="7" t="inlineStr">
        <is>
          <t>Reads only GET /dashboard/summary; never the database</t>
        </is>
      </c>
      <c r="C144" s="7" t="inlineStr">
        <is>
          <t>✅</t>
        </is>
      </c>
    </row>
    <row r="145">
      <c r="A145" s="7" t="inlineStr">
        <is>
          <t>LLR-5.2</t>
        </is>
      </c>
      <c r="B145" s="7" t="inlineStr">
        <is>
          <t>KPIs: completions (window), active tasks, active streaks, unlocked + claimed rewards, AI acceptance rate (— when undefined)</t>
        </is>
      </c>
      <c r="C145" s="7" t="inlineStr">
        <is>
          <t>🟡</t>
        </is>
      </c>
    </row>
    <row r="146">
      <c r="A146" s="7" t="inlineStr">
        <is>
          <t>LLR-5.3</t>
        </is>
      </c>
      <c r="B146" s="7" t="inlineStr">
        <is>
          <t>Charts: completions by tile, by area (filterable by tile) and per day (empty days shown as gaps). Hover tooltips on every mark</t>
        </is>
      </c>
      <c r="C146" s="7" t="inlineStr">
        <is>
          <t>🟡</t>
        </is>
      </c>
    </row>
    <row r="147">
      <c r="A147" s="7" t="inlineStr">
        <is>
          <t>LLR-5.4</t>
        </is>
      </c>
      <c r="B147" s="7" t="inlineStr">
        <is>
          <t>Tables: active streaks (filterable by tile); reward progress with a progress bar</t>
        </is>
      </c>
      <c r="C147" s="7" t="inlineStr">
        <is>
          <t>🟡</t>
        </is>
      </c>
    </row>
    <row r="148">
      <c r="A148" s="7" t="inlineStr">
        <is>
          <t>LLR-5.5</t>
        </is>
      </c>
      <c r="B148" s="7" t="inlineStr">
        <is>
          <t>Filters: window (7/30/90 days/all time) and tile. They survive reruns (session_state)</t>
        </is>
      </c>
      <c r="C148" s="7" t="inlineStr">
        <is>
          <t>🟡</t>
        </is>
      </c>
    </row>
    <row r="149">
      <c r="A149" s="7" t="inlineStr">
        <is>
          <t>LLR-5.6</t>
        </is>
      </c>
      <c r="B149" s="7" t="inlineStr">
        <is>
          <t>Responses are cached 30 s per window. *Refresh now* clears the cache</t>
        </is>
      </c>
      <c r="C149" s="7" t="inlineStr">
        <is>
          <t>🟡</t>
        </is>
      </c>
    </row>
    <row r="150">
      <c r="A150" s="7" t="inlineStr">
        <is>
          <t>LLR-5.7</t>
        </is>
      </c>
      <c r="B150" s="7" t="inlineStr">
        <is>
          <t>Unlocked rewards can be claimed from the dashboard. After claiming, the cache is cleared and the page shows fresh data</t>
        </is>
      </c>
      <c r="C150" s="7" t="inlineStr">
        <is>
          <t>🟡</t>
        </is>
      </c>
    </row>
    <row r="151">
      <c r="A151" s="7" t="inlineStr">
        <is>
          <t>LLR-5.8</t>
        </is>
      </c>
      <c r="B151" s="7" t="inlineStr">
        <is>
          <t>If the BFF is unreachable, show the error and *Try again* (no stack traces)</t>
        </is>
      </c>
      <c r="C151" s="7" t="inlineStr">
        <is>
          <t>🟡</t>
        </is>
      </c>
    </row>
    <row r="152">
      <c r="A152" s="7" t="inlineStr">
        <is>
          <t>LLR-5.9</t>
        </is>
      </c>
      <c r="B152" s="7" t="inlineStr">
        <is>
          <t>Streaks and rewards ignore the window; completion aggregates respect it</t>
        </is>
      </c>
      <c r="C152" s="7" t="inlineStr">
        <is>
          <t>✅</t>
        </is>
      </c>
    </row>
    <row r="153">
      <c r="A153" s="7" t="inlineStr">
        <is>
          <t>LLR-5.10</t>
        </is>
      </c>
      <c r="B153" s="7" t="inlineStr">
        <is>
          <t>Summary payload is flat snake_case records; React endpoints are camelCase (per-client shaping)</t>
        </is>
      </c>
      <c r="C153" s="7" t="inlineStr">
        <is>
          <t>✅</t>
        </is>
      </c>
    </row>
    <row r="154">
      <c r="A154" s="7" t="inlineStr">
        <is>
          <t>LLR-5.11</t>
        </is>
      </c>
      <c r="B154" s="7" t="inlineStr">
        <is>
          <t>Reward progress rows include the reward's tile and area; the dashboard's tile filter applies to rewards as well as completions and streaks</t>
        </is>
      </c>
      <c r="C154" s="7" t="inlineStr">
        <is>
          <t>⏳ (HLR-9)</t>
        </is>
      </c>
    </row>
    <row r="155"/>
    <row r="156">
      <c r="A156" s="13" t="inlineStr">
        <is>
          <t>LLR-6 AI task suggestions (HLR-6) ⏳</t>
        </is>
      </c>
    </row>
    <row r="157">
      <c r="A157" s="6" t="inlineStr">
        <is>
          <t>ID</t>
        </is>
      </c>
      <c r="B157" s="6" t="inlineStr">
        <is>
          <t>Requirement</t>
        </is>
      </c>
    </row>
    <row r="158">
      <c r="A158" s="7" t="inlineStr">
        <is>
          <t>LLR-6.1</t>
        </is>
      </c>
      <c r="B158" s="7" t="inlineStr">
        <is>
          <t>Attach 1–5 photos per run to an area (JPEG/PNG/WebP, ≤ 5 MB each; type checked by content, not extension)</t>
        </is>
      </c>
    </row>
    <row r="159">
      <c r="A159" s="7" t="inlineStr">
        <is>
          <t>LLR-6.2</t>
        </is>
      </c>
      <c r="B159" s="7" t="inlineStr">
        <is>
          <t>Photos are stored privately with random names and are never publicly addressable</t>
        </is>
      </c>
    </row>
    <row r="160">
      <c r="A160" s="7" t="inlineStr">
        <is>
          <t>LLR-6.3</t>
        </is>
      </c>
      <c r="B160" s="7" t="inlineStr">
        <is>
          <t>Starting a suggestion run returns immediately (202) with a run id; the UI shows a loading state</t>
        </is>
      </c>
    </row>
    <row r="161">
      <c r="A161" s="7" t="inlineStr">
        <is>
          <t>LLR-6.4</t>
        </is>
      </c>
      <c r="B161" s="7" t="inlineStr">
        <is>
          <t>While a run is in progress, the manual *Add a task* form stays fully usable</t>
        </is>
      </c>
    </row>
    <row r="162">
      <c r="A162" s="7" t="inlineStr">
        <is>
          <t>LLR-6.5</t>
        </is>
      </c>
      <c r="B162" s="7" t="inlineStr">
        <is>
          <t>Each suggestion has a title (≤ 200), why (≤ 500), priority and frequency, validated against a strict schema</t>
        </is>
      </c>
    </row>
    <row r="163">
      <c r="A163" s="7" t="inlineStr">
        <is>
          <t>LLR-6.6</t>
        </is>
      </c>
      <c r="B163" s="7" t="inlineStr">
        <is>
          <t>The user marks each suggestion Relevant / Not relevant / Ignore. Relevant creates a task with source = ai. A decision is final (409 on re-decide)</t>
        </is>
      </c>
    </row>
    <row r="164">
      <c r="A164" s="7" t="inlineStr">
        <is>
          <t>LLR-6.7</t>
        </is>
      </c>
      <c r="B164" s="7" t="inlineStr">
        <is>
          <t>On timeout (30 s), invalid output or missing API key: retry once where sensible, then show "AI suggestions unavailable, add tasks manually". The page never breaks</t>
        </is>
      </c>
    </row>
    <row r="165">
      <c r="A165" s="7" t="inlineStr">
        <is>
          <t>LLR-6.8</t>
        </is>
      </c>
      <c r="B165" s="7" t="inlineStr">
        <is>
          <t>The API key exists only in BFF environment variables</t>
        </is>
      </c>
    </row>
    <row r="166">
      <c r="A166" s="7" t="inlineStr">
        <is>
          <t>LLR-6.9</t>
        </is>
      </c>
      <c r="B166" s="7" t="inlineStr">
        <is>
          <t>Decisions feed the dashboard acceptance rate (relevant ÷ decided)</t>
        </is>
      </c>
    </row>
    <row r="167"/>
    <row r="168">
      <c r="A168" s="13" t="inlineStr">
        <is>
          <t>LLR-7 Module composition (HLR-7)</t>
        </is>
      </c>
    </row>
    <row r="169">
      <c r="A169" s="6" t="inlineStr">
        <is>
          <t>ID</t>
        </is>
      </c>
      <c r="B169" s="6" t="inlineStr">
        <is>
          <t>Requirement</t>
        </is>
      </c>
      <c r="C169" s="6" t="inlineStr">
        <is>
          <t>Status</t>
        </is>
      </c>
    </row>
    <row r="170">
      <c r="A170" s="7" t="inlineStr">
        <is>
          <t>LLR-7.1</t>
        </is>
      </c>
      <c r="B170" s="7" t="inlineStr">
        <is>
          <t>The MFE is built separately and exposes ./RewardsApp via remoteEntry.js</t>
        </is>
      </c>
      <c r="C170" s="7" t="inlineStr">
        <is>
          <t>✅</t>
        </is>
      </c>
    </row>
    <row r="171">
      <c r="A171" s="7" t="inlineStr">
        <is>
          <t>LLR-7.2</t>
        </is>
      </c>
      <c r="B171" s="7" t="inlineStr">
        <is>
          <t>The host mounts it on #/rewards and every #/rewards/*. The nav item stays active on sub-routes</t>
        </is>
      </c>
      <c r="C171" s="7" t="inlineStr">
        <is>
          <t>🟡</t>
        </is>
      </c>
    </row>
    <row r="172">
      <c r="A172" s="7" t="inlineStr">
        <is>
          <t>LLR-7.3</t>
        </is>
      </c>
      <c r="B172" s="7" t="inlineStr">
        <is>
          <t>Host and remote share one React instance; the remote bundles no React</t>
        </is>
      </c>
      <c r="C172" s="7" t="inlineStr">
        <is>
          <t>🟡 (verified in browser)</t>
        </is>
      </c>
    </row>
    <row r="173">
      <c r="A173" s="7" t="inlineStr">
        <is>
          <t>LLR-7.4</t>
        </is>
      </c>
      <c r="B173" s="7" t="inlineStr">
        <is>
          <t>If the remote fails to load, the host shows "Rewards is unavailable right now" and a reload button. Other pages are unaffected</t>
        </is>
      </c>
      <c r="C173" s="7" t="inlineStr">
        <is>
          <t>🟡</t>
        </is>
      </c>
    </row>
    <row r="174">
      <c r="A174" s="7" t="inlineStr">
        <is>
          <t>LLR-7.5</t>
        </is>
      </c>
      <c r="B174" s="7" t="inlineStr">
        <is>
          <t>MFE styles are scoped (.rw-app) and don't alter host styles</t>
        </is>
      </c>
      <c r="C174" s="7" t="inlineStr">
        <is>
          <t>🟡</t>
        </is>
      </c>
    </row>
    <row r="175">
      <c r="A175" s="7" t="inlineStr">
        <is>
          <t>LLR-7.6</t>
        </is>
      </c>
      <c r="B175" s="7" t="inlineStr">
        <is>
          <t>The remote URL is configurable per environment (VITE_REWARDS_REMOTE_URL)</t>
        </is>
      </c>
      <c r="C175" s="7" t="inlineStr">
        <is>
          <t>✅</t>
        </is>
      </c>
    </row>
    <row r="176">
      <c r="A176" s="7" t="inlineStr">
        <is>
          <t>LLR-7.7</t>
        </is>
      </c>
      <c r="B176" s="7" t="inlineStr">
        <is>
          <t>The MFE runs standalone for development (npm run dev)</t>
        </is>
      </c>
      <c r="C176" s="7" t="inlineStr">
        <is>
          <t>🟡</t>
        </is>
      </c>
    </row>
    <row r="177">
      <c r="A177" s="7" t="inlineStr">
        <is>
          <t>LLR-7.8</t>
        </is>
      </c>
      <c r="B177" s="7" t="inlineStr">
        <is>
          <t>Every screen has loading, error (with retry) and empty states</t>
        </is>
      </c>
      <c r="C177" s="7" t="inlineStr">
        <is>
          <t>🟡</t>
        </is>
      </c>
    </row>
    <row r="178"/>
    <row r="179">
      <c r="A179" s="13" t="inlineStr">
        <is>
          <t>LLR-8 BFF API (HLR-8)</t>
        </is>
      </c>
    </row>
    <row r="180">
      <c r="A180" s="6" t="inlineStr">
        <is>
          <t>ID</t>
        </is>
      </c>
      <c r="B180" s="6" t="inlineStr">
        <is>
          <t>Requirement</t>
        </is>
      </c>
      <c r="C180" s="6" t="inlineStr">
        <is>
          <t>Status</t>
        </is>
      </c>
    </row>
    <row r="181">
      <c r="A181" s="7" t="inlineStr">
        <is>
          <t>LLR-8.1</t>
        </is>
      </c>
      <c r="B181" s="7" t="inlineStr">
        <is>
          <t>Every endpoint except /health needs Authorization: Bearer &lt;demo token&gt;; otherwise 401</t>
        </is>
      </c>
      <c r="C181" s="7" t="inlineStr">
        <is>
          <t>✅</t>
        </is>
      </c>
    </row>
    <row r="182">
      <c r="A182" s="7" t="inlineStr">
        <is>
          <t>LLR-8.2</t>
        </is>
      </c>
      <c r="B182" s="7" t="inlineStr">
        <is>
          <t>CORS allows only the configured origins</t>
        </is>
      </c>
      <c r="C182" s="7" t="inlineStr">
        <is>
          <t>✅</t>
        </is>
      </c>
    </row>
    <row r="183">
      <c r="A183" s="7" t="inlineStr">
        <is>
          <t>LLR-8.3</t>
        </is>
      </c>
      <c r="B183" s="7" t="inlineStr">
        <is>
          <t>OpenAPI documentation is served at /docs</t>
        </is>
      </c>
      <c r="C183" s="7" t="inlineStr">
        <is>
          <t>✅</t>
        </is>
      </c>
    </row>
    <row r="184">
      <c r="A184" s="7" t="inlineStr">
        <is>
          <t>LLR-8.4</t>
        </is>
      </c>
      <c r="B184" s="7" t="inlineStr">
        <is>
          <t>Errors use {detail} with status codes 401, 404, 409 and 422 as catalogued in LLD §3.3</t>
        </is>
      </c>
      <c r="C184" s="7" t="inlineStr">
        <is>
          <t>✅</t>
        </is>
      </c>
    </row>
    <row r="185">
      <c r="A185" s="7" t="inlineStr">
        <is>
          <t>LLR-8.5</t>
        </is>
      </c>
      <c r="B185" s="7" t="inlineStr">
        <is>
          <t>Request bodies accept camelCase or snake_case. React responses are camelCase; dashboard responses are snake_case</t>
        </is>
      </c>
      <c r="C185" s="7" t="inlineStr">
        <is>
          <t>✅</t>
        </is>
      </c>
    </row>
    <row r="186">
      <c r="A186" s="7" t="inlineStr">
        <is>
          <t>LLR-8.6</t>
        </is>
      </c>
      <c r="B186" s="7" t="inlineStr">
        <is>
          <t>Timestamps are ISO-8601 UTC in responses</t>
        </is>
      </c>
      <c r="C186" s="7" t="inlineStr">
        <is>
          <t>✅</t>
        </is>
      </c>
    </row>
    <row r="187">
      <c r="A187" s="7" t="inlineStr">
        <is>
          <t>LLR-8.7</t>
        </is>
      </c>
      <c r="B187" s="7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C187" s="7" t="inlineStr">
        <is>
          <t>✅</t>
        </is>
      </c>
    </row>
    <row r="188">
      <c r="A188" s="7" t="inlineStr">
        <is>
          <t>LLR-8.8</t>
        </is>
      </c>
      <c r="B188" s="7" t="inlineStr">
        <is>
          <t>Task detail's rewards lists every reward the task counts for, with how (tagged = linked, or scope for older all-tasks-in-an-area rewards)</t>
        </is>
      </c>
      <c r="C188" s="7" t="inlineStr">
        <is>
          <t>✅</t>
        </is>
      </c>
    </row>
    <row r="189">
      <c r="A189" s="7" t="inlineStr">
        <is>
          <t>LLR-8.9</t>
        </is>
      </c>
      <c r="B189" s="7" t="inlineStr">
        <is>
          <t>Schema changes are applied by versioned migrations on startup, never by dropping and recreating tables; a backup of the database file is written before each upgrade (Q14)</t>
        </is>
      </c>
      <c r="C189" s="7" t="inlineStr">
        <is>
          <t>✅</t>
        </is>
      </c>
    </row>
    <row r="190">
      <c r="A190" s="7" t="inlineStr">
        <is>
          <t>LLR-8.10</t>
        </is>
      </c>
      <c r="B190" s="7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C190" s="7" t="inlineStr">
        <is>
          <t>✅</t>
        </is>
      </c>
    </row>
    <row r="191">
      <c r="A191" s="7" t="inlineStr">
        <is>
          <t>LLR-8.12</t>
        </is>
      </c>
      <c r="B191" s="7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C191" s="7" t="inlineStr">
        <is>
          <t>✅ (hiding silent tasks from visitors comes with the passcode)</t>
        </is>
      </c>
    </row>
    <row r="192">
      <c r="A192" s="7" t="inlineStr">
        <is>
          <t>LLR-8.13</t>
        </is>
      </c>
      <c r="B192" s="7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C192" s="7" t="inlineStr">
        <is>
          <t>✅</t>
        </is>
      </c>
    </row>
    <row r="193">
      <c r="A193" s="7" t="inlineStr">
        <is>
          <t>LLR-8.11</t>
        </is>
      </c>
      <c r="B193" s="7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C193" s="7" t="inlineStr">
        <is>
          <t>✅</t>
        </is>
      </c>
    </row>
    <row r="194"/>
    <row r="195">
      <c r="A195" s="13" t="inlineStr">
        <is>
          <t>LLR-10 Notes, contacts and files (HLR-10) ✅</t>
        </is>
      </c>
    </row>
    <row r="196">
      <c r="A196" s="12" t="inlineStr">
        <is>
          <t>Each tile and each area has a *Notes &amp; contacts* section (Q16, Q18). Every note, contact and file can carry an optional topic (e.g. "Bosch Dishwasher", "Pest Control") that groups related items.</t>
        </is>
      </c>
    </row>
    <row r="197"/>
    <row r="198">
      <c r="A198" s="13" t="inlineStr">
        <is>
          <t>LLR-10 Notes, contacts and files (HLR-10) ✅</t>
        </is>
      </c>
    </row>
    <row r="199">
      <c r="A199" s="6" t="inlineStr">
        <is>
          <t>ID</t>
        </is>
      </c>
      <c r="B199" s="6" t="inlineStr">
        <is>
          <t>Requirement</t>
        </is>
      </c>
      <c r="C199" s="6" t="inlineStr">
        <is>
          <t>Status</t>
        </is>
      </c>
    </row>
    <row r="200">
      <c r="A200" s="7" t="inlineStr">
        <is>
          <t>LLR-10.1</t>
        </is>
      </c>
      <c r="B200" s="7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C200" s="7" t="inlineStr">
        <is>
          <t>✅</t>
        </is>
      </c>
    </row>
    <row r="201">
      <c r="A201" s="7" t="inlineStr">
        <is>
          <t>LLR-10.2</t>
        </is>
      </c>
      <c r="B201" s="7" t="inlineStr">
        <is>
          <t>Topic is free text (1–60 characters), optional, and offers existing topics from the same tile or area as suggestions, so "Bosch Dishwasher" isn't typed three different ways</t>
        </is>
      </c>
      <c r="C201" s="7" t="inlineStr">
        <is>
          <t>✅</t>
        </is>
      </c>
    </row>
    <row r="202">
      <c r="A202" s="7" t="inlineStr">
        <is>
          <t>LLR-10.3</t>
        </is>
      </c>
      <c r="B202" s="7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C202" s="7" t="inlineStr">
        <is>
          <t>✅</t>
        </is>
      </c>
    </row>
    <row r="203">
      <c r="A203" s="7" t="inlineStr">
        <is>
          <t>LLR-10.4</t>
        </is>
      </c>
      <c r="B203" s="7" t="inlineStr">
        <is>
          <t>Phone numbers are stored as entered and shown with actions: Call (tel:), WhatsApp (wa.me, for numbers marked WhatsApp) and Copy. Email gets Email (mailto:). All actions are one tap on a phone</t>
        </is>
      </c>
      <c r="C203" s="7" t="inlineStr">
        <is>
          <t>✅</t>
        </is>
      </c>
    </row>
    <row r="204">
      <c r="A204" s="7" t="inlineStr">
        <is>
          <t>LLR-10.5</t>
        </is>
      </c>
      <c r="B204" s="7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C204" s="7" t="inlineStr">
        <is>
          <t>✅</t>
        </is>
      </c>
    </row>
    <row r="205">
      <c r="A205" s="7" t="inlineStr">
        <is>
          <t>LLR-10.6</t>
        </is>
      </c>
      <c r="B205" s="7" t="inlineStr">
        <is>
          <t>Note: text 1–5000 characters, optional title and topic; shows created and last-edited time; newest first</t>
        </is>
      </c>
      <c r="C205" s="7" t="inlineStr">
        <is>
          <t>✅</t>
        </is>
      </c>
    </row>
    <row r="206">
      <c r="A206" s="7" t="inlineStr">
        <is>
          <t>LLR-10.7</t>
        </is>
      </c>
      <c r="B206" s="7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C206" s="7" t="inlineStr">
        <is>
          <t>✅</t>
        </is>
      </c>
    </row>
    <row r="207">
      <c r="A207" s="7" t="inlineStr">
        <is>
          <t>LLR-10.8</t>
        </is>
      </c>
      <c r="B207" s="7" t="inlineStr">
        <is>
          <t>Notes, contacts and files can be edited and deleted (with confirmation), and moved between topics by editing the topic</t>
        </is>
      </c>
      <c r="C207" s="7" t="inlineStr">
        <is>
          <t>✅</t>
        </is>
      </c>
    </row>
    <row r="208">
      <c r="A208" s="7" t="inlineStr">
        <is>
          <t>LLR-10.9</t>
        </is>
      </c>
      <c r="B208" s="7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C208" s="7" t="inlineStr">
        <is>
          <t>✅</t>
        </is>
      </c>
    </row>
    <row r="209">
      <c r="A209" s="7" t="inlineStr">
        <is>
          <t>LLR-10.10</t>
        </is>
      </c>
      <c r="B209" s="7" t="inlineStr">
        <is>
          <t>Deleting an area or tile deletes its notes, contacts and files, and the confirmation counts them (LLR-1.12). Stored files are removed only after the database change commits</t>
        </is>
      </c>
      <c r="C209" s="7" t="inlineStr">
        <is>
          <t>✅</t>
        </is>
      </c>
    </row>
    <row r="210">
      <c r="A210" s="7" t="inlineStr">
        <is>
          <t>LLR-10.11</t>
        </is>
      </c>
      <c r="B210" s="7" t="inlineStr">
        <is>
          <t>Visibility follows the rewards setting (Q17): readable in the read-only view when public reads are on; creating, editing, deleting and uploading need the owner passcode</t>
        </is>
      </c>
      <c r="C210" s="7" t="inlineStr">
        <is>
          <t>✅</t>
        </is>
      </c>
    </row>
    <row r="211">
      <c r="A211" s="7" t="inlineStr">
        <is>
          <t>LLR-10.12</t>
        </is>
      </c>
      <c r="B211" s="7" t="inlineStr">
        <is>
          <t>The JSON export (app.backup) includes notes and contacts, and lists files by title and stored name; the server backup covers the files folder as well as the database</t>
        </is>
      </c>
      <c r="C211" s="7" t="inlineStr">
        <is>
          <t>🟡 export built; server backup of the files folder comes with hosting</t>
        </is>
      </c>
    </row>
    <row r="212"/>
    <row r="213">
      <c r="A213" s="13" t="inlineStr">
        <is>
          <t>Business rules: tiles and details</t>
        </is>
      </c>
    </row>
    <row r="214">
      <c r="A214" s="6" t="inlineStr">
        <is>
          <t>ID</t>
        </is>
      </c>
      <c r="B214" s="6" t="inlineStr">
        <is>
          <t>Rule</t>
        </is>
      </c>
    </row>
    <row r="215">
      <c r="A215" s="7" t="inlineStr">
        <is>
          <t>BR-R17</t>
        </is>
      </c>
      <c r="B215" s="7" t="inlineStr">
        <is>
          <t>Tile names are unique ignoring case; area names are unique within their tile ignoring case</t>
        </is>
      </c>
    </row>
    <row r="216">
      <c r="A216" s="7" t="inlineStr">
        <is>
          <t>BR-R18</t>
        </is>
      </c>
      <c r="B216" s="7" t="inlineStr">
        <is>
          <t>Deleting a tile removes everything under it (areas, tasks, completions, rewards scoped to it, notes, contacts, files) in one transaction, after a database snapshot is saved to data/backups/</t>
        </is>
      </c>
    </row>
    <row r="217">
      <c r="A217" s="7" t="inlineStr">
        <is>
          <t>BR-R19</t>
        </is>
      </c>
      <c r="B217" s="7" t="inlineStr">
        <is>
          <t>The starter set only adds tiles and areas whose names are missing; it never renames, merges or deletes</t>
        </is>
      </c>
    </row>
    <row r="218">
      <c r="A218" s="7" t="inlineStr">
        <is>
          <t>BR-R20</t>
        </is>
      </c>
      <c r="B218" s="7" t="inlineStr">
        <is>
          <t>Details belong to exactly one owner: a tile or an area. Moving an area to another tile isn't supported, so details never change tile</t>
        </is>
      </c>
    </row>
    <row r="219">
      <c r="A219" s="7" t="inlineStr">
        <is>
          <t>BR-R21</t>
        </is>
      </c>
      <c r="B219" s="7" t="inlineStr">
        <is>
          <t>The "last executive" of a topic is the *Service executive* or *Technician* contact in that topic with the latest last-visit date; contacts without a date come after dated ones</t>
        </is>
      </c>
    </row>
    <row r="220"/>
    <row r="221">
      <c r="A221" s="13" t="inlineStr">
        <is>
          <t>AC-10 (your examples)</t>
        </is>
      </c>
    </row>
    <row r="222">
      <c r="A222" s="7" t="inlineStr">
        <is>
          <t>• *Given* Household › Kitchen *when* the user adds contacts "Bosch Customer Care" (Customer care, toll-free number) and "Ramesh" (Service executive, last visit 12 Aug 2026), both with topic "Bosch Dishwasher", uploads the installation bill and adds a note "Filter cleaned; next service due in 6 months" *then* the Bosch Dishwasher topic shows all four, with Ramesh as the last executive.</t>
        </is>
      </c>
    </row>
    <row r="223">
      <c r="A223" s="7" t="inlineStr">
        <is>
          <t>• *Given* a topic "Kent Water Purifier" with executives visiting in March and August *then* the August executive is shown as the last executive, and both appear under past executives.</t>
        </is>
      </c>
    </row>
    <row r="224">
      <c r="A224" s="7" t="inlineStr">
        <is>
          <t>• *Given* "IFB Washing Machine" (Laundry), "LG Fridge" (Kitchen) and "Pigeon Net" (Balcony) contacts *when* the user searches "IFB" *then* the result shows "Household › Laundry › IFB Washing Machine".</t>
        </is>
      </c>
    </row>
    <row r="225">
      <c r="A225" s="7" t="inlineStr">
        <is>
          <t>• *Given* Household (tile level) with topic "Pest Control" *then* its last executive shows on the Household tile's Notes &amp; contacts tab, not under any area.</t>
        </is>
      </c>
    </row>
    <row r="226">
      <c r="A226" s="7" t="inlineStr">
        <is>
          <t>• *Given* a saved number "98450 12345" *when* the user searches "9845012345" *then* the contact is found, and tapping Call on a phone dials it.</t>
        </is>
      </c>
    </row>
    <row r="227">
      <c r="A227" s="7" t="inlineStr">
        <is>
          <t>• *Given* the read-only view (no passcode) *then* notes, contacts and files are visible, but the add, edit, delete and upload controls are hidden (Q17).</t>
        </is>
      </c>
    </row>
    <row r="228"/>
    <row r="229">
      <c r="A229" s="13" t="inlineStr">
        <is>
          <t>LLR-11 Task planning and visibility (HLR-11) ✅</t>
        </is>
      </c>
    </row>
    <row r="230">
      <c r="A230" s="12" t="inlineStr">
        <is>
          <t>Four new, optional task attributes (Q19 to Q22). They sit under More options in the add form, so adding a quick task on a phone stays one field and one tap.</t>
        </is>
      </c>
    </row>
    <row r="231"/>
    <row r="232">
      <c r="A232" s="13" t="inlineStr">
        <is>
          <t>LLR-11 Task planning and visibility (HLR-11) ✅</t>
        </is>
      </c>
    </row>
    <row r="233">
      <c r="A233" s="6" t="inlineStr">
        <is>
          <t>ID</t>
        </is>
      </c>
      <c r="B233" s="6" t="inlineStr">
        <is>
          <t>Requirement</t>
        </is>
      </c>
      <c r="C233" s="6" t="inlineStr">
        <is>
          <t>Status</t>
        </is>
      </c>
    </row>
    <row r="234">
      <c r="A234" s="7" t="inlineStr">
        <is>
          <t>LLR-11.1</t>
        </is>
      </c>
      <c r="B234" s="7" t="inlineStr">
        <is>
          <t>Milestone: yes/no (default no), set when creating or editing a task</t>
        </is>
      </c>
      <c r="C234" s="7" t="inlineStr">
        <is>
          <t>✅</t>
        </is>
      </c>
    </row>
    <row r="235">
      <c r="A235" s="7" t="inlineStr">
        <is>
          <t>LLR-11.2</t>
        </is>
      </c>
      <c r="B235" s="7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C235" s="7" t="inlineStr">
        <is>
          <t>✅</t>
        </is>
      </c>
    </row>
    <row r="236">
      <c r="A236" s="7" t="inlineStr">
        <is>
          <t>LLR-11.3</t>
        </is>
      </c>
      <c r="B236" s="7" t="inlineStr">
        <is>
          <t>Completing an announced milestone shows the milestone celebration: a larger, longer celebration than a normal completion (respects reduced motion), with its own share prompt</t>
        </is>
      </c>
      <c r="C236" s="7" t="inlineStr">
        <is>
          <t>✅</t>
        </is>
      </c>
    </row>
    <row r="237">
      <c r="A237" s="7" t="inlineStr">
        <is>
          <t>LLR-11.4</t>
        </is>
      </c>
      <c r="B237" s="7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C237" s="7" t="inlineStr">
        <is>
          <t>✅</t>
        </is>
      </c>
    </row>
    <row r="238">
      <c r="A238" s="7" t="inlineStr">
        <is>
          <t>LLR-11.5</t>
        </is>
      </c>
      <c r="B238" s="7" t="inlineStr">
        <is>
          <t>Announce or keep silent: each task is *Announced* (default) or *Silent*, set when creating or editing it (Q20, Q22)</t>
        </is>
      </c>
      <c r="C238" s="7" t="inlineStr">
        <is>
          <t>✅</t>
        </is>
      </c>
    </row>
    <row r="239">
      <c r="A239" s="7" t="inlineStr">
        <is>
          <t>LLR-11.6</t>
        </is>
      </c>
      <c r="B239" s="7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C239" s="7" t="inlineStr">
        <is>
          <t>🟡 🔕 marker and quiet completion built; hiding from visitors comes with the owner passcode (hosting)</t>
        </is>
      </c>
    </row>
    <row r="240">
      <c r="A240" s="7" t="inlineStr">
        <is>
          <t>LLR-11.7</t>
        </is>
      </c>
      <c r="B240" s="7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C240" s="7" t="inlineStr">
        <is>
          <t>✅</t>
        </is>
      </c>
    </row>
    <row r="241">
      <c r="A241" s="7" t="inlineStr">
        <is>
          <t>LLR-11.8</t>
        </is>
      </c>
      <c r="B241" s="7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C241" s="7" t="inlineStr">
        <is>
          <t>✅</t>
        </is>
      </c>
    </row>
    <row r="242">
      <c r="A242" s="7" t="inlineStr">
        <is>
          <t>LLR-11.9</t>
        </is>
      </c>
      <c r="B242" s="7" t="inlineStr">
        <is>
          <t>Days to complete (optional): a whole number from 1 to 3650, shown as "Planned: N days". Task detail also shows "Day X of N", counted from the task's creation date</t>
        </is>
      </c>
      <c r="C242" s="7" t="inlineStr">
        <is>
          <t>✅</t>
        </is>
      </c>
    </row>
    <row r="243">
      <c r="A243" s="7" t="inlineStr">
        <is>
          <t>LLR-11.10</t>
        </is>
      </c>
      <c r="B243" s="7" t="inlineStr">
        <is>
          <t>Due date and days to complete are independent: changing one never changes the other, and they may disagree (Q21, BR-R26)</t>
        </is>
      </c>
      <c r="C243" s="7" t="inlineStr">
        <is>
          <t>✅</t>
        </is>
      </c>
    </row>
    <row r="244">
      <c r="A244" s="7" t="inlineStr">
        <is>
          <t>LLR-11.11</t>
        </is>
      </c>
      <c r="B244" s="7" t="inlineStr">
        <is>
          <t>All four attributes can be edited on task detail at any time. A due date in the past is allowed (the task is simply overdue)</t>
        </is>
      </c>
      <c r="C244" s="7" t="inlineStr">
        <is>
          <t>✅</t>
        </is>
      </c>
    </row>
    <row r="245">
      <c r="A245" s="7" t="inlineStr">
        <is>
          <t>LLR-11.12</t>
        </is>
      </c>
      <c r="B245" s="7" t="inlineStr">
        <is>
          <t>Existing tasks are migrated without data loss: milestone = no, visibility = announced, no due date, no days to complete. Nothing else changes</t>
        </is>
      </c>
      <c r="C245" s="7" t="inlineStr">
        <is>
          <t>✅</t>
        </is>
      </c>
    </row>
    <row r="246">
      <c r="A246" s="7" t="inlineStr">
        <is>
          <t>LLR-11.13</t>
        </is>
      </c>
      <c r="B246" s="7" t="inlineStr">
        <is>
          <t>The dashboard adds an Overdue KPI and the *Milestones* table (LLR-11.2); the owner-only dashboard includes silent tasks, marked 🔕</t>
        </is>
      </c>
      <c r="C246" s="7" t="inlineStr">
        <is>
          <t>✅</t>
        </is>
      </c>
    </row>
    <row r="247"/>
    <row r="248">
      <c r="A248" s="13" t="inlineStr">
        <is>
          <t>Business rules: task planning and visibility</t>
        </is>
      </c>
    </row>
    <row r="249">
      <c r="A249" s="6" t="inlineStr">
        <is>
          <t>ID</t>
        </is>
      </c>
      <c r="B249" s="6" t="inlineStr">
        <is>
          <t>Rule</t>
        </is>
      </c>
    </row>
    <row r="250">
      <c r="A250" s="7" t="inlineStr">
        <is>
          <t>BR-R22</t>
        </is>
      </c>
      <c r="B250" s="7" t="inlineStr">
        <is>
          <t>A task is overdue when it's active, has a due date, and the due date is before now. Done and archived tasks are never overdue</t>
        </is>
      </c>
    </row>
    <row r="251">
      <c r="A251" s="7" t="inlineStr">
        <is>
          <t>BR-R23</t>
        </is>
      </c>
      <c r="B251" s="7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</row>
    <row r="252">
      <c r="A252" s="7" t="inlineStr">
        <is>
          <t>BR-R24</t>
        </is>
      </c>
      <c r="B252" s="7" t="inlineStr">
        <is>
          <t>Celebrations and share prompts happen only for announced tasks. A reward unlocked by a silent task's completion is unlocked quietly (no share prompt); the reward itself stays visible</t>
        </is>
      </c>
    </row>
    <row r="253">
      <c r="A253" s="7" t="inlineStr">
        <is>
          <t>BR-R25</t>
        </is>
      </c>
      <c r="B253" s="7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</row>
    <row r="254">
      <c r="A254" s="7" t="inlineStr">
        <is>
          <t>BR-R26</t>
        </is>
      </c>
      <c r="B254" s="7" t="inlineStr">
        <is>
          <t>Due date and days to complete are never derived from each other or from the frequency</t>
        </is>
      </c>
    </row>
    <row r="255"/>
    <row r="256">
      <c r="A256" s="13" t="inlineStr">
        <is>
          <t>AC-11 (your examples)</t>
        </is>
      </c>
    </row>
    <row r="257">
      <c r="A257" s="7" t="inlineStr">
        <is>
          <t>• *Given* the add form *when* the user opens More options, ticks Milestone, sets due "31 Oct 2026, 6:00 pm" and days to complete "30" *then* the task shows 🏁, "Due 31 Oct" and "Planned: 30 days", and task detail shows "Day 1 of 30".</t>
        </is>
      </c>
    </row>
    <row r="258">
      <c r="A258" s="7" t="inlineStr">
        <is>
          <t>• *Given* a reward "New laptop bag" with the rule Milestone completed tagged to the milestone "Finish React course" *when* that task is completed *then* the reward unlocks and the milestone celebration plays.</t>
        </is>
      </c>
    </row>
    <row r="259">
      <c r="A259" s="7" t="inlineStr">
        <is>
          <t>• *Given* two milestone tasks tagged to one milestone reward *when* only one is completed *then* progress shows 1 of 2 and it stays locked (BR-R25, O7).</t>
        </is>
      </c>
    </row>
    <row r="260">
      <c r="A260" s="7" t="inlineStr">
        <is>
          <t>• *Given* a silent task "Therapy session" *when* a visitor opens the read-only view *then* it isn't listed, the area's active count doesn't include it, and dashboard totals exclude it; with the passcode it's shown with 🔕.</t>
        </is>
      </c>
    </row>
    <row r="261">
      <c r="A261" s="7" t="inlineStr">
        <is>
          <t>• *Given* the user completes a silent task *then* only "Logged" appears: no toast and no share prompt.</t>
        </is>
      </c>
    </row>
    <row r="262">
      <c r="A262" s="7" t="inlineStr">
        <is>
          <t>• *Given* a task due yesterday that's still active *then* it shows *Overdue*; when it's completed or archived the chip disappears.</t>
        </is>
      </c>
    </row>
    <row r="263">
      <c r="A263" s="7" t="inlineStr">
        <is>
          <t>• *Given* a task with due date 10 Oct and days to complete 30 *when* the due date is moved to 20 Oct *then* days to complete stays 30.</t>
        </is>
      </c>
    </row>
    <row r="264"/>
    <row r="265">
      <c r="A265" s="13" t="inlineStr">
        <is>
          <t>LLR-12 Reward ideas and wishlist (HLR-12) ✅</t>
        </is>
      </c>
    </row>
    <row r="266">
      <c r="A266" s="12" t="inlineStr">
        <is>
          <t>A reward can start life as an idea: something you might get later, captured before any rule or task exists (Q23).</t>
        </is>
      </c>
    </row>
    <row r="267"/>
    <row r="268">
      <c r="A268" s="13" t="inlineStr">
        <is>
          <t>LLR-12 Reward ideas and wishlist (HLR-12) ✅</t>
        </is>
      </c>
    </row>
    <row r="269">
      <c r="A269" s="6" t="inlineStr">
        <is>
          <t>ID</t>
        </is>
      </c>
      <c r="B269" s="6" t="inlineStr">
        <is>
          <t>Requirement</t>
        </is>
      </c>
      <c r="C269" s="6" t="inlineStr">
        <is>
          <t>Status</t>
        </is>
      </c>
    </row>
    <row r="270">
      <c r="A270" s="7" t="inlineStr">
        <is>
          <t>LLR-12.1</t>
        </is>
      </c>
      <c r="B270" s="7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C270" s="7" t="inlineStr">
        <is>
          <t>✅</t>
        </is>
      </c>
    </row>
    <row r="271">
      <c r="A271" s="7" t="inlineStr">
        <is>
          <t>LLR-12.2</t>
        </is>
      </c>
      <c r="B271" s="7" t="inlineStr">
        <is>
          <t>For whom on every reward and idea: free text (1–40) with suggestions from earlier entries; default "Me" (Q25)</t>
        </is>
      </c>
      <c r="C271" s="7" t="inlineStr">
        <is>
          <t>✅</t>
        </is>
      </c>
    </row>
    <row r="272">
      <c r="A272" s="7" t="inlineStr">
        <is>
          <t>LLR-12.3</t>
        </is>
      </c>
      <c r="B272" s="7" t="inlineStr">
        <is>
          <t>Ideas have status Idea: no rule, no progress and no tasks, and they never unlock or appear in progress counts (BR-R27)</t>
        </is>
      </c>
      <c r="C272" s="7" t="inlineStr">
        <is>
          <t>✅</t>
        </is>
      </c>
    </row>
    <row r="273">
      <c r="A273" s="7" t="inlineStr">
        <is>
          <t>LLR-12.4</t>
        </is>
      </c>
      <c r="B273" s="7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C273" s="7" t="inlineStr">
        <is>
          <t>✅</t>
        </is>
      </c>
    </row>
    <row r="274">
      <c r="A274" s="7" t="inlineStr">
        <is>
          <t>LLR-12.5</t>
        </is>
      </c>
      <c r="B274" s="7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C274" s="7" t="inlineStr">
        <is>
          <t>✅</t>
        </is>
      </c>
    </row>
    <row r="275">
      <c r="A275" s="7" t="inlineStr">
        <is>
          <t>LLR-12.6</t>
        </is>
      </c>
      <c r="B275" s="7" t="inlineStr">
        <is>
          <t>Close an idea as *Bought* (got it without a rule) or *Dropped* (no longer wanted). Closed ideas leave the Ideas list, stay under *Closed* with the date and outcome, and can be reopened (BR-R29)</t>
        </is>
      </c>
      <c r="C275" s="7" t="inlineStr">
        <is>
          <t>✅</t>
        </is>
      </c>
    </row>
    <row r="276">
      <c r="A276" s="7" t="inlineStr">
        <is>
          <t>LLR-12.7</t>
        </is>
      </c>
      <c r="B276" s="7" t="inlineStr">
        <is>
          <t>Ideas are Silent by default (hidden from the read-only view) and can be switched to *Announced*; ordinary rewards default to *Announced*. Visibility follows the silent rules of BR-R23 (Q24)</t>
        </is>
      </c>
      <c r="C276" s="7" t="inlineStr">
        <is>
          <t>🟡 private by default with a 🔕 marker; hiding from visitors comes with the owner passcode (hosting)</t>
        </is>
      </c>
    </row>
    <row r="277">
      <c r="A277" s="7" t="inlineStr">
        <is>
          <t>LLR-12.8</t>
        </is>
      </c>
      <c r="B277" s="7" t="inlineStr">
        <is>
          <t>Ideas are included in search (LLR-10.9) by title, notes, for whom and where seen</t>
        </is>
      </c>
      <c r="C277" s="7" t="inlineStr">
        <is>
          <t>✅</t>
        </is>
      </c>
    </row>
    <row r="278">
      <c r="A278" s="7" t="inlineStr">
        <is>
          <t>LLR-12.9</t>
        </is>
      </c>
      <c r="B278" s="7" t="inlineStr">
        <is>
          <t>Existing rewards are migrated without data loss: for whom = "Me", visibility = announced; their status, rule, tasks and progress are unchanged</t>
        </is>
      </c>
      <c r="C278" s="7" t="inlineStr">
        <is>
          <t>✅</t>
        </is>
      </c>
    </row>
    <row r="279"/>
    <row r="280">
      <c r="A280" s="13" t="inlineStr">
        <is>
          <t>Business rules: ideas</t>
        </is>
      </c>
    </row>
    <row r="281">
      <c r="A281" s="6" t="inlineStr">
        <is>
          <t>ID</t>
        </is>
      </c>
      <c r="B281" s="6" t="inlineStr">
        <is>
          <t>Rule</t>
        </is>
      </c>
    </row>
    <row r="282">
      <c r="A282" s="7" t="inlineStr">
        <is>
          <t>BR-R27</t>
        </is>
      </c>
      <c r="B282" s="7" t="inlineStr">
        <is>
          <t>An *Idea* has no rule and no progress. It can't unlock or be claimed, and it isn't counted in reward totals or progress on the dashboard (the dashboard shows an *Ideas* count per person)</t>
        </is>
      </c>
    </row>
    <row r="283">
      <c r="A283" s="7" t="inlineStr">
        <is>
          <t>BR-R28</t>
        </is>
      </c>
      <c r="B283" s="7" t="inlineStr">
        <is>
          <t>Turning an idea into a reward requires a rule and a threshold (except *milestone completed*); a tile isn't required since rewards stand alone. The idea's id is kept, so links and photos stay attached</t>
        </is>
      </c>
    </row>
    <row r="284">
      <c r="A284" s="7" t="inlineStr">
        <is>
          <t>BR-R29</t>
        </is>
      </c>
      <c r="B284" s="7" t="inlineStr">
        <is>
          <t>Closing is only for ideas; a reward that already has a rule is claimed, not closed. Reopening a closed idea returns it to *Idea*</t>
        </is>
      </c>
    </row>
    <row r="285">
      <c r="A285" s="7" t="inlineStr">
        <is>
          <t>BR-R30</t>
        </is>
      </c>
      <c r="B285" s="7" t="inlineStr">
        <is>
          <t>*For whom* is a label: it groups and filters rewards, but never changes who can see or edit them (visibility rules decide that)</t>
        </is>
      </c>
    </row>
    <row r="286"/>
    <row r="287">
      <c r="A287" s="13" t="inlineStr">
        <is>
          <t>AC-12 (your example)</t>
        </is>
      </c>
    </row>
    <row r="288">
      <c r="A288" s="7" t="inlineStr">
        <is>
          <t>• *Given* the user is at the library *when* they tap "+ Idea", type "101 Hilarious Jokes", choose for whom "Shiragi", take a photo of the cover and save *then* it appears under Rewards › Ideas with the photo, for "Shiragi", saved in under 10 seconds on a phone.</t>
        </is>
      </c>
    </row>
    <row r="289">
      <c r="A289" s="7" t="inlineStr">
        <is>
          <t>• *Given* the idea *when* a visitor opens the read-only view *then* it isn't shown (silent by default); with the passcode it's listed with 🔕.</t>
        </is>
      </c>
    </row>
    <row r="290">
      <c r="A290" s="7" t="inlineStr">
        <is>
          <t>• *Given* the idea *when* the user turns it into a reward for Household › Books with the rule "streak of 7" tagged to Shiragi's task "Read 20 minutes" *then* it's a locked reward at 0 %, still with its photo, link and for whom "Shiragi".</t>
        </is>
      </c>
    </row>
    <row r="291">
      <c r="A291" s="7" t="inlineStr">
        <is>
          <t>• *Given* the user simply buys the book *when* they close the idea as *Bought* *then* it moves to *Closed* with today's date.</t>
        </is>
      </c>
    </row>
    <row r="292">
      <c r="A292" s="7" t="inlineStr">
        <is>
          <t>• *Given* the Rewards tab filtered to "Shiragi" *then* only her ideas and rewards are shown.</t>
        </is>
      </c>
    </row>
    <row r="293"/>
    <row r="294">
      <c r="A294" s="13" t="inlineStr">
        <is>
          <t>LLR-13 Tiles without areas (HLR-13) ✅</t>
        </is>
      </c>
    </row>
    <row r="295">
      <c r="A295" s="12" t="inlineStr">
        <is>
          <t>Some tiles have no natural sub-areas (D15). Such a tile holds its tasks, rewards and notes directly. Internally it keeps exactly one hidden area, so tasks, completions, rewards and notes work unchanged; every screen shows the tile in its place.</t>
        </is>
      </c>
    </row>
    <row r="296"/>
    <row r="297">
      <c r="A297" s="13" t="inlineStr">
        <is>
          <t>LLR-13 Tiles without areas (HLR-13) ✅</t>
        </is>
      </c>
    </row>
    <row r="298">
      <c r="A298" s="6" t="inlineStr">
        <is>
          <t>ID</t>
        </is>
      </c>
      <c r="B298" s="6" t="inlineStr">
        <is>
          <t>Requirement</t>
        </is>
      </c>
      <c r="C298" s="6" t="inlineStr">
        <is>
          <t>Status</t>
        </is>
      </c>
    </row>
    <row r="299">
      <c r="A299" s="7" t="inlineStr">
        <is>
          <t>LLR-13.1</t>
        </is>
      </c>
      <c r="B299" s="7" t="inlineStr">
        <is>
          <t>The tile form (new tile and ✎ edit) has a Use areas switch, on by default. POST /categories and PATCH /categories/{id} accept useAreas; every tile in GET /categories returns useAreas, and each area returns hidden</t>
        </is>
      </c>
      <c r="C299" s="7" t="inlineStr">
        <is>
          <t>✅</t>
        </is>
      </c>
    </row>
    <row r="300">
      <c r="A300" s="7" t="inlineStr">
        <is>
          <t>LLR-13.2</t>
        </is>
      </c>
      <c r="B300" s="7" t="inlineStr">
        <is>
          <t>Switching areas off is only possible while the tile has no areas; otherwise the switch is disabled with "move or delete its N areas first" and the API answers 409 (BR-R31)</t>
        </is>
      </c>
      <c r="C300" s="7" t="inlineStr">
        <is>
          <t>✅</t>
        </is>
      </c>
    </row>
    <row r="301">
      <c r="A301" s="7" t="inlineStr">
        <is>
          <t>LLR-13.3</t>
        </is>
      </c>
      <c r="B301" s="7" t="inlineStr">
        <is>
          <t>A tile without areas opens straight to Tasks | Rewards | Notes &amp; contacts at #/rewards/c/{tile} (/rewards, /details), with the tile's name, icon and its ✎ / 🗑 buttons. Old links to its hidden area open the tile instead</t>
        </is>
      </c>
      <c r="C301" s="7" t="inlineStr">
        <is>
          <t>✅</t>
        </is>
      </c>
    </row>
    <row r="302">
      <c r="A302" s="7" t="inlineStr">
        <is>
          <t>LLR-13.4</t>
        </is>
      </c>
      <c r="B302" s="7" t="inlineStr">
        <is>
          <t>Tiles screen shows "N active tasks" without an area count; the Tasks, Rewards and Link screens, area pickers, search results and the dashboard show such tasks and rewards under the tile name alone (e.g. "💼 Career / Office / Work", never "› General")</t>
        </is>
      </c>
      <c r="C302" s="7" t="inlineStr">
        <is>
          <t>✅</t>
        </is>
      </c>
    </row>
    <row r="303">
      <c r="A303" s="7" t="inlineStr">
        <is>
          <t>LLR-13.5</t>
        </is>
      </c>
      <c r="B303" s="7" t="inlineStr">
        <is>
          <t>No areas can be added to, and the hidden area can't be renamed or deleted on, a tile without areas (409); the starter set never adds areas to it</t>
        </is>
      </c>
      <c r="C303" s="7" t="inlineStr">
        <is>
          <t>✅</t>
        </is>
      </c>
    </row>
    <row r="304">
      <c r="A304" s="7" t="inlineStr">
        <is>
          <t>LLR-13.6</t>
        </is>
      </c>
      <c r="B304" s="7" t="inlineStr">
        <is>
          <t>Switching areas back on: if the tile holds anything, its hidden area becomes a normal area called General with everything in it; if it's empty, it simply goes</t>
        </is>
      </c>
      <c r="C304" s="7" t="inlineStr">
        <is>
          <t>✅</t>
        </is>
      </c>
    </row>
    <row r="305">
      <c r="A305" s="7" t="inlineStr">
        <is>
          <t>LLR-13.7</t>
        </is>
      </c>
      <c r="B305" s="7" t="inlineStr">
        <is>
          <t>Move a task: the task's edit form has a *Tile or area* picker (PATCH /tasks/{id} with areaId). Completions, streaks and reward links move with it</t>
        </is>
      </c>
      <c r="C305" s="7" t="inlineStr">
        <is>
          <t>✅</t>
        </is>
      </c>
    </row>
    <row r="306">
      <c r="A306" s="7" t="inlineStr">
        <is>
          <t>LLR-13.8</t>
        </is>
      </c>
      <c r="B306" s="7" t="inlineStr">
        <is>
          <t>Existing data is kept: migration 0006_tile_without_areas adds areas.hidden (false for every existing area), with a backup first</t>
        </is>
      </c>
      <c r="C306" s="7" t="inlineStr">
        <is>
          <t>✅</t>
        </is>
      </c>
    </row>
    <row r="307"/>
    <row r="308">
      <c r="A308" s="13" t="inlineStr">
        <is>
          <t>Business rules: tiles without areas</t>
        </is>
      </c>
    </row>
    <row r="309">
      <c r="A309" s="6" t="inlineStr">
        <is>
          <t>ID</t>
        </is>
      </c>
      <c r="B309" s="6" t="inlineStr">
        <is>
          <t>Rule</t>
        </is>
      </c>
    </row>
    <row r="310">
      <c r="A310" s="7" t="inlineStr">
        <is>
          <t>BR-R31</t>
        </is>
      </c>
      <c r="B310" s="7" t="inlineStr">
        <is>
          <t>A tile either uses areas or holds everything itself, never both. Areas can only be switched off on a tile with no areas, so nothing is hidden or lost by the switch</t>
        </is>
      </c>
    </row>
    <row r="311"/>
    <row r="312">
      <c r="A312" s="13" t="inlineStr">
        <is>
          <t>AC-13 (your example)</t>
        </is>
      </c>
    </row>
    <row r="313">
      <c r="A313" s="7" t="inlineStr">
        <is>
          <t>• *Given* Career / Office / Work with areas switched off *when* the user opens it *then* the task list and an *Add a task* form are shown straight away, with no area step.</t>
        </is>
      </c>
    </row>
    <row r="314">
      <c r="A314" s="7" t="inlineStr">
        <is>
          <t>• *Given* the Tasks screen *then* those tasks are grouped under "💼 Career / Office / Work", not under an area.</t>
        </is>
      </c>
    </row>
    <row r="315">
      <c r="A315" s="7" t="inlineStr">
        <is>
          <t>• *Given* the Fun tile with 2 areas *when* the user edits it *then* *Use areas* can't be switched off and says to move or delete its 2 areas first.</t>
        </is>
      </c>
    </row>
    <row r="316">
      <c r="A316" s="7" t="inlineStr">
        <is>
          <t>• *Given* the task "Micro-frontend Rewards Deployment" with 1 completion and a linked reward *when* it's moved to another tile *then* its completion and reward link stay.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4. Screen requirements (MFE)</t>
        </is>
      </c>
    </row>
    <row r="3">
      <c r="A3" s="6" t="inlineStr">
        <is>
          <t>Screen</t>
        </is>
      </c>
      <c r="B3" s="6" t="inlineStr">
        <is>
          <t>Must show</t>
        </is>
      </c>
      <c r="C3" s="6" t="inlineStr">
        <is>
          <t>States</t>
        </is>
      </c>
      <c r="D3" s="6" t="inlineStr">
        <is>
          <t>Primary actions</t>
        </is>
      </c>
    </row>
    <row r="4">
      <c r="A4" s="7" t="inlineStr">
        <is>
          <t>Tiles</t>
        </is>
      </c>
      <c r="B4" s="7" t="inlineStr">
        <is>
          <t>Tiles: icon, name, area count, active task count; "Edit tiles" mode (↑ ↓ ✎ 🗑, "+ New tile", "Add suggested tiles"); search box (LLR-10.9)</t>
        </is>
      </c>
      <c r="C4" s="7" t="inlineStr">
        <is>
          <t>loading, error+retry; empty: "Create your first tile" + "Add suggested tiles"</t>
        </is>
      </c>
      <c r="D4" s="7" t="inlineStr">
        <is>
          <t>open tile; create, edit, reorder, delete tile (typed-name dialog)</t>
        </is>
      </c>
    </row>
    <row r="5">
      <c r="A5" s="7" t="inlineStr">
        <is>
          <t>Tile (category)</t>
        </is>
      </c>
      <c r="B5" s="7" t="inlineStr">
        <is>
          <t>Breadcrumb; areas with active count; tabs *Areas* / *Notes &amp; contacts*</t>
        </is>
      </c>
      <c r="C5" s="7" t="inlineStr">
        <is>
          <t>loading, error, empty ("No areas yet"), not found</t>
        </is>
      </c>
      <c r="D5" s="7" t="inlineStr">
        <is>
          <t>add, rename (inline), reorder (↑ ↓), delete (confirm) area; edit or delete this tile; tile-level notes, contacts, files</t>
        </is>
      </c>
    </row>
    <row r="6">
      <c r="A6" s="7" t="inlineStr">
        <is>
          <t>Notes &amp; contacts (tab on tile and area)</t>
        </is>
      </c>
      <c r="B6" s="7" t="inlineStr">
        <is>
          <t>Topic groups ("General" last); per topic: last executive, contacts (role, organisation, phones with Call / WhatsApp / Copy), files (thumbnail or PDF icon, date, amount), notes</t>
        </is>
      </c>
      <c r="C6" s="7" t="inlineStr">
        <is>
          <t>loading, error, empty ("No notes or contacts yet"), read-only (no edit controls)</t>
        </is>
      </c>
      <c r="D6" s="7" t="inlineStr">
        <is>
          <t>add note, contact, file; edit, delete, change topic</t>
        </is>
      </c>
    </row>
    <row r="7">
      <c r="A7" s="7" t="inlineStr">
        <is>
          <t>Area</t>
        </is>
      </c>
      <c r="B7" s="7" t="inlineStr">
        <is>
          <t>Breadcrumb; active count; add form (⏳ with More options: milestone, announce/silent, due date and time, days to complete); filters (collapsible; ⏳ milestones, overdue/due today/this week, sort by due); task rows (⠿ drag handle; title, frequency, source, status, streak 🔥, ✓; ⏳ 🏁 milestone, due chip, 🔕 silent); ⏳ "Rewards you can earn here" (matching rewards with progress)</t>
        </is>
      </c>
      <c r="C7" s="7" t="inlineStr">
        <is>
          <t>loading, error, "No tasks yet" / "No tasks match these filters"; ⏳ "No rewards for this area yet" + create link prefilled with this scope</t>
        </is>
      </c>
      <c r="D7" s="7" t="inlineStr">
        <is>
          <t>add task, filter, drag to reorder, quick complete, open task; ⏳ create reward for this area</t>
        </is>
      </c>
    </row>
    <row r="8">
      <c r="A8" s="7" t="inlineStr">
        <is>
          <t>Task</t>
        </is>
      </c>
      <c r="B8" s="7" t="inlineStr">
        <is>
          <t>Breadcrumb; stats (current, best, completions); log completion (when + note); matching rewards (tagged, or ⏳ "Counts automatically") + tag select limited to in-scope rewards; settings chips; activity log</t>
        </is>
      </c>
      <c r="C8" s="7" t="inlineStr">
        <is>
          <t>loading, error, "No completions yet", inactive-task notice</t>
        </is>
      </c>
      <c r="D8" s="7" t="inlineStr">
        <is>
          <t>complete, tag reward, change settings</t>
        </is>
      </c>
    </row>
    <row r="9">
      <c r="A9" s="7" t="inlineStr">
        <is>
          <t>Rewards</t>
        </is>
      </c>
      <c r="B9" s="7" t="inlineStr">
        <is>
          <t>Status filter (⏳ plus *Ideas* and *Closed*); ⏳ for-whom filter; ⏳ "+ Idea" quick capture; ⏳ idea cards (photo, title, for whom, where seen, *Turn into reward*, *Bought*, *Dropped*); ⏳ tile and area filters; create form (⏳ tile → area → match mode, then task picker limited to scope, grouped by area); cards: image, title, ⏳ scope breadcrumb + match mode, status, rule, progress, tags</t>
        </is>
      </c>
      <c r="C9" s="7" t="inlineStr">
        <is>
          <t>loading, error, empty per filter; ⏳ *Needs a tile* badge</t>
        </is>
      </c>
      <c r="D9" s="7" t="inlineStr">
        <is>
          <t>create, claim, edit tasks, ⏳ change scope (locked only)</t>
        </is>
      </c>
    </row>
    <row r="10"/>
    <row r="11">
      <c r="A11" s="12" t="inlineStr">
        <is>
          <t>Touch and accessibility: controls ≥ 44 px high (chips ≥ 36 px), inputs 16 px, labelled controls, role="radiogroup" chips, aria-live toasts, focus ring visible, reduced-motion respected.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00" workbookViewId="0">
      <selection activeCell="A1" sqref="A1"/>
    </sheetView>
  </sheetViews>
  <sheetFormatPr baseColWidth="8" defaultRowHeight="15"/>
  <cols>
    <col width="39" customWidth="1" min="1" max="1"/>
    <col width="70" customWidth="1" min="2" max="2"/>
  </cols>
  <sheetData>
    <row r="1">
      <c r="A1" s="4" t="inlineStr">
        <is>
          <t>5. User-facing messages</t>
        </is>
      </c>
    </row>
    <row r="3">
      <c r="A3" s="6" t="inlineStr">
        <is>
          <t>Code / situation</t>
        </is>
      </c>
      <c r="B3" s="6" t="inlineStr">
        <is>
          <t>Message</t>
        </is>
      </c>
    </row>
    <row r="4">
      <c r="A4" s="7" t="inlineStr">
        <is>
          <t>BFF unreachable</t>
        </is>
      </c>
      <c r="B4" s="7" t="inlineStr">
        <is>
          <t>"Can't reach the rewards service. Is the BFF running?"</t>
        </is>
      </c>
    </row>
    <row r="5">
      <c r="A5" s="7" t="inlineStr">
        <is>
          <t>Remote unavailable (host)</t>
        </is>
      </c>
      <c r="B5" s="7" t="inlineStr">
        <is>
          <t>"Rewards is unavailable right now. The rewards module couldn't be loaded. The rest of the site still works."</t>
        </is>
      </c>
    </row>
    <row r="6">
      <c r="A6" s="7" t="inlineStr">
        <is>
          <t>Duplicate area</t>
        </is>
      </c>
      <c r="B6" s="7" t="inlineStr">
        <is>
          <t>"'&lt;name&gt;' already exists in this category"</t>
        </is>
      </c>
    </row>
    <row r="7">
      <c r="A7" s="7" t="inlineStr">
        <is>
          <t>Complete inactive task</t>
        </is>
      </c>
      <c r="B7" s="7" t="inlineStr">
        <is>
          <t>"Only active tasks can be completed (this one is &lt;status&gt;)"</t>
        </is>
      </c>
    </row>
    <row r="8">
      <c r="A8" s="7" t="inlineStr">
        <is>
          <t>Future completion</t>
        </is>
      </c>
      <c r="B8" s="7" t="inlineStr">
        <is>
          <t>"completedAt cannot be in the future"</t>
        </is>
      </c>
    </row>
    <row r="9">
      <c r="A9" s="7" t="inlineStr">
        <is>
          <t>Claim locked reward</t>
        </is>
      </c>
      <c r="B9" s="7" t="inlineStr">
        <is>
          <t>"This reward is still locked"</t>
        </is>
      </c>
    </row>
    <row r="10">
      <c r="A10" s="7" t="inlineStr">
        <is>
          <t>Unknown tagged tasks</t>
        </is>
      </c>
      <c r="B10" s="7" t="inlineStr">
        <is>
          <t>"Unknown task ids: [..]"</t>
        </is>
      </c>
    </row>
    <row r="11">
      <c r="A11" s="7" t="inlineStr">
        <is>
          <t>Unlock</t>
        </is>
      </c>
      <c r="B11" s="7" t="inlineStr">
        <is>
          <t>"🎉 Reward unlocked: &lt;title&gt;"</t>
        </is>
      </c>
    </row>
    <row r="12">
      <c r="A12" s="7" t="inlineStr">
        <is>
          <t>⏳ Duplicate tile</t>
        </is>
      </c>
      <c r="B12" s="7" t="inlineStr">
        <is>
          <t>"'&lt;name&gt;' already exists"</t>
        </is>
      </c>
    </row>
    <row r="13">
      <c r="A13" s="7" t="inlineStr">
        <is>
          <t>⏳ Delete tile</t>
        </is>
      </c>
      <c r="B13" s="7" t="inlineStr">
        <is>
          <t>"Delete &lt;tile&gt;? This removes &lt;n&gt; areas, &lt;n&gt; tasks, &lt;n&gt; completions, &lt;n&gt; rewards and &lt;n&gt; notes, contacts and files. A backup is saved first. Type &lt;tile&gt; to confirm."</t>
        </is>
      </c>
    </row>
    <row r="14">
      <c r="A14" s="7" t="inlineStr">
        <is>
          <t>⏳ Starter set</t>
        </is>
      </c>
      <c r="B14" s="7" t="inlineStr">
        <is>
          <t>"Added &lt;n&gt; tiles and &lt;n&gt; areas" / "You already have all the suggested tiles"</t>
        </is>
      </c>
    </row>
    <row r="15">
      <c r="A15" s="7" t="inlineStr">
        <is>
          <t>File too large or wrong type</t>
        </is>
      </c>
      <c r="B15" s="7" t="inlineStr">
        <is>
          <t>"Files must be PDF, JPG, PNG, WebP or HEIC, up to 10 MB"</t>
        </is>
      </c>
    </row>
    <row r="16">
      <c r="A16" s="7" t="inlineStr">
        <is>
          <t>No details yet</t>
        </is>
      </c>
      <c r="B16" s="7" t="inlineStr">
        <is>
          <t>"No notes or contacts yet. Add a customer-care number, the last executive or a bill."</t>
        </is>
      </c>
    </row>
    <row r="17">
      <c r="A17" s="7" t="inlineStr">
        <is>
          <t>⏳ Milestone celebration</t>
        </is>
      </c>
      <c r="B17" s="7" t="inlineStr">
        <is>
          <t>"🏁 Milestone reached: &lt;title&gt;!" (with share prompt when announced)</t>
        </is>
      </c>
    </row>
    <row r="18">
      <c r="A18" s="7" t="inlineStr">
        <is>
          <t>⏳ Share text</t>
        </is>
      </c>
      <c r="B18" s="7" t="inlineStr">
        <is>
          <t>"Done: &lt;title&gt; 🔥 &lt;n&gt;-day streak" / "Milestone reached: &lt;title&gt; 🏁"</t>
        </is>
      </c>
    </row>
    <row r="19">
      <c r="A19" s="7" t="inlineStr">
        <is>
          <t>⏳ Silent completion</t>
        </is>
      </c>
      <c r="B19" s="7" t="inlineStr">
        <is>
          <t>"Logged"</t>
        </is>
      </c>
    </row>
    <row r="20">
      <c r="A20" s="7" t="inlineStr">
        <is>
          <t>⏳ Overdue chip</t>
        </is>
      </c>
      <c r="B20" s="7" t="inlineStr">
        <is>
          <t>"Overdue" / "Due today" / "Due in &lt;n&gt; days"</t>
        </is>
      </c>
    </row>
    <row r="21">
      <c r="A21" s="7" t="inlineStr">
        <is>
          <t>⏳ Milestone reward without milestones</t>
        </is>
      </c>
      <c r="B21" s="7" t="inlineStr">
        <is>
          <t>"Tag at least one milestone task to use this rule"</t>
        </is>
      </c>
    </row>
    <row r="22">
      <c r="A22" s="7" t="inlineStr">
        <is>
          <t>⏳ Idea saved</t>
        </is>
      </c>
      <c r="B22" s="7" t="inlineStr">
        <is>
          <t>"Idea saved for &lt;for whom&gt;"</t>
        </is>
      </c>
    </row>
    <row r="23">
      <c r="A23" s="7" t="inlineStr">
        <is>
          <t>⏳ Idea closed</t>
        </is>
      </c>
      <c r="B23" s="7" t="inlineStr">
        <is>
          <t>"Marked as bought" / "Dropped. You can reopen it from Closed"</t>
        </is>
      </c>
    </row>
    <row r="24">
      <c r="A24" s="7" t="inlineStr">
        <is>
          <t>⏳ Turn into reward</t>
        </is>
      </c>
      <c r="B24" s="7" t="inlineStr">
        <is>
          <t>"Now a reward: &lt;title&gt;. Complete the tagged tasks to unlock it"</t>
        </is>
      </c>
    </row>
    <row r="25">
      <c r="A25" s="7" t="inlineStr">
        <is>
          <t>⏳ Tag outside scope</t>
        </is>
      </c>
      <c r="B25" s="7" t="inlineStr">
        <is>
          <t>"“&lt;task&gt;” isn't in &lt;tile&gt; › &lt;area&gt;"</t>
        </is>
      </c>
    </row>
    <row r="26">
      <c r="A26" s="7" t="inlineStr">
        <is>
          <t>⏳ Area from another tile</t>
        </is>
      </c>
      <c r="B26" s="7" t="inlineStr">
        <is>
          <t>"&lt;area&gt; isn't part of &lt;tile&gt;"</t>
        </is>
      </c>
    </row>
    <row r="27">
      <c r="A27" s="7" t="inlineStr">
        <is>
          <t>⏳ Reward needs a tile</t>
        </is>
      </c>
      <c r="B27" s="7" t="inlineStr">
        <is>
          <t>"Pick a tile for this reward to keep editing it"</t>
        </is>
      </c>
    </row>
    <row r="28">
      <c r="A28" s="7" t="inlineStr">
        <is>
          <t>⏳ Narrowing scope</t>
        </is>
      </c>
      <c r="B28" s="7" t="inlineStr">
        <is>
          <t>"Changing the scope will untag: &lt;task list&gt;. Continue?"</t>
        </is>
      </c>
    </row>
    <row r="29">
      <c r="A29" s="7" t="inlineStr">
        <is>
          <t>⏳ AI fallback</t>
        </is>
      </c>
      <c r="B29" s="7" t="inlineStr">
        <is>
          <t>"AI suggestions unavailable, add tasks manually"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70" customWidth="1" min="2" max="2"/>
    <col width="33" customWidth="1" min="3" max="3"/>
  </cols>
  <sheetData>
    <row r="1">
      <c r="A1" s="4" t="inlineStr">
        <is>
          <t>6. Detailed non-functional requirements</t>
        </is>
      </c>
    </row>
    <row r="3">
      <c r="A3" s="6" t="inlineStr">
        <is>
          <t>ID</t>
        </is>
      </c>
      <c r="B3" s="6" t="inlineStr">
        <is>
          <t>Requirement</t>
        </is>
      </c>
      <c r="C3" s="6" t="inlineStr">
        <is>
          <t>Verification</t>
        </is>
      </c>
    </row>
    <row r="4">
      <c r="A4" s="7" t="inlineStr">
        <is>
          <t>NFR-D1</t>
        </is>
      </c>
      <c r="B4" s="7" t="inlineStr">
        <is>
          <t>Remote exposed chunk ≤ 50 KB gzip (now ~11 KB)</t>
        </is>
      </c>
      <c r="C4" s="7" t="inlineStr">
        <is>
          <t>build output</t>
        </is>
      </c>
    </row>
    <row r="5">
      <c r="A5" s="7" t="inlineStr">
        <is>
          <t>NFR-D2</t>
        </is>
      </c>
      <c r="B5" s="7" t="inlineStr">
        <is>
          <t>Remote load after navigating to #/rewards ≤ 500 ms locally (measured ~36 ms client-side nav, ~275 ms cold)</t>
        </is>
      </c>
      <c r="C5" s="7" t="inlineStr">
        <is>
          <t>Resource Timing</t>
        </is>
      </c>
    </row>
    <row r="6">
      <c r="A6" s="7" t="inlineStr">
        <is>
          <t>NFR-D3</t>
        </is>
      </c>
      <c r="B6" s="7" t="inlineStr">
        <is>
          <t>Dashboard issues ≤ 1 BFF read per window per 30 s</t>
        </is>
      </c>
      <c r="C6" s="7" t="inlineStr">
        <is>
          <t>st.cache_data TTL</t>
        </is>
      </c>
    </row>
    <row r="7">
      <c r="A7" s="7" t="inlineStr">
        <is>
          <t>NFR-D4</t>
        </is>
      </c>
      <c r="B7" s="7" t="inlineStr">
        <is>
          <t>No horizontal scroll at 375 px width</t>
        </is>
      </c>
      <c r="C7" s="7" t="inlineStr">
        <is>
          <t>measured scrollWidth = viewport</t>
        </is>
      </c>
    </row>
    <row r="8">
      <c r="A8" s="7" t="inlineStr">
        <is>
          <t>NFR-D5</t>
        </is>
      </c>
      <c r="B8" s="7" t="inlineStr">
        <is>
          <t>Stats for N tasks use one activity query (no N+1)</t>
        </is>
      </c>
      <c r="C8" s="7" t="inlineStr">
        <is>
          <t>code review (task_stats)</t>
        </is>
      </c>
    </row>
    <row r="9">
      <c r="A9" s="7" t="inlineStr">
        <is>
          <t>NFR-D6</t>
        </is>
      </c>
      <c r="B9" s="7" t="inlineStr">
        <is>
          <t>Every business rule BR-R1…R30 has ≥ 1 automated test</t>
        </is>
      </c>
      <c r="C9" s="7" t="inlineStr">
        <is>
          <t>traceability §7</t>
        </is>
      </c>
    </row>
    <row r="10">
      <c r="A10" s="7" t="inlineStr">
        <is>
          <t>NFR-D8</t>
        </is>
      </c>
      <c r="B10" s="7" t="inlineStr">
        <is>
          <t>No schema change may delete or rewrite existing rows except as specified (LLR-4.18); every migration has an upgrade test run against a copy of a pre-migration database</t>
        </is>
      </c>
      <c r="C10" s="7" t="inlineStr">
        <is>
          <t>migration tests</t>
        </is>
      </c>
    </row>
    <row r="11">
      <c r="A11" s="7" t="inlineStr">
        <is>
          <t>NFR-D9</t>
        </is>
      </c>
      <c r="B11" s="7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C11" s="7" t="inlineStr">
        <is>
          <t>code review, upload tests</t>
        </is>
      </c>
    </row>
    <row r="12">
      <c r="A12" s="7" t="inlineStr">
        <is>
          <t>NFR-D10</t>
        </is>
      </c>
      <c r="B12" s="7" t="inlineStr">
        <is>
          <t>Search over notes, contacts and files returns in ≤ 300 ms for 5,000 items</t>
        </is>
      </c>
      <c r="C12" s="7" t="inlineStr">
        <is>
          <t>test with generated data</t>
        </is>
      </c>
    </row>
    <row r="13">
      <c r="A13" s="7" t="inlineStr">
        <is>
          <t>NFR-D11</t>
        </is>
      </c>
      <c r="B13" s="7" t="inlineStr">
        <is>
          <t>Every read endpoint has a test that a silent task leaves no trace (item, count or aggregate) in its response without the passcode</t>
        </is>
      </c>
      <c r="C13" s="7" t="inlineStr">
        <is>
          <t>privacy tests</t>
        </is>
      </c>
    </row>
    <row r="14">
      <c r="A14" s="7" t="inlineStr">
        <is>
          <t>NFR-D7</t>
        </is>
      </c>
      <c r="B14" s="7" t="inlineStr">
        <is>
          <t>Naive datetimes never reach storage</t>
        </is>
      </c>
      <c r="C14" s="7" t="inlineStr">
        <is>
          <t>UTCDateTime raises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5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4" t="inlineStr">
        <is>
          <t>7. Traceability matrix</t>
        </is>
      </c>
    </row>
    <row r="3">
      <c r="A3" s="6" t="inlineStr">
        <is>
          <t>LLR</t>
        </is>
      </c>
      <c r="B3" s="6" t="inlineStr">
        <is>
          <t>Endpoint(s)</t>
        </is>
      </c>
      <c r="C3" s="6" t="inlineStr">
        <is>
          <t>Automated test(s)</t>
        </is>
      </c>
    </row>
    <row r="4">
      <c r="A4" s="7" t="inlineStr">
        <is>
          <t>LLR-1.1 (superseded)</t>
        </is>
      </c>
      <c r="B4" s="7" t="inlineStr">
        <is>
          <t>—</t>
        </is>
      </c>
      <c r="C4" s="7" t="inlineStr">
        <is>
          <t>replaced by test_starter_set_contents and the LLR-1.7 tests</t>
        </is>
      </c>
    </row>
    <row r="5">
      <c r="A5" s="7" t="inlineStr">
        <is>
          <t>LLR-1.3–1.5</t>
        </is>
      </c>
      <c r="B5" s="7" t="inlineStr">
        <is>
          <t>POST/PATCH/DELETE /areas</t>
        </is>
      </c>
      <c r="C5" s="7" t="inlineStr">
        <is>
          <t>test_area_add_rename_delete</t>
        </is>
      </c>
    </row>
    <row r="6">
      <c r="A6" s="7" t="inlineStr">
        <is>
          <t>LLR-1.7–1.13; BR-R17–R19; LLR-8.10</t>
        </is>
      </c>
      <c r="B6" s="7" t="inlineStr">
        <is>
          <t>/categories*</t>
        </is>
      </c>
      <c r="C6" s="7" t="inlineStr">
        <is>
          <t>test_fresh_database_has_no_tiles, test_starter_set_is_idempotent, test_starter_set_fills_in_missing_areas_only, test_tile_crud_and_unique_names, test_new_tile_ids_stay_unique, test_reorder_tiles_and_areas, test_delete_tile_needs_typed_name_snapshots_and_cascades, test_restart_never_reseeds, test_upgrade_keeps_existing_tiles</t>
        </is>
      </c>
    </row>
    <row r="7">
      <c r="A7" s="7" t="inlineStr">
        <is>
          <t>LLR-13.1–13.8; BR-R31</t>
        </is>
      </c>
      <c r="B7" s="7" t="inlineStr">
        <is>
          <t>/categories*, /areas*, PATCH /tasks/{id}</t>
        </is>
      </c>
      <c r="C7" s="7" t="inlineStr">
        <is>
          <t>test_switch_off_areas_gives_the_tile_one_hidden_area, test_a_new_tile_can_start_without_areas, test_cannot_switch_off_while_the_tile_has_areas, test_tasks_on_a_tile_without_areas_show_the_tile_name, test_switching_areas_back_on, test_starter_set_leaves_a_tile_without_areas_alone, test_move_a_task_keeps_completions_and_reward_links; tile screen, redirects and the switch verified in the browser</t>
        </is>
      </c>
    </row>
    <row r="8">
      <c r="A8" s="7" t="inlineStr">
        <is>
          <t>LLR-12.1–12.9; BR-R27–R30; LLR-8.13</t>
        </is>
      </c>
      <c r="B8" s="7" t="inlineStr">
        <is>
          <t>/rewards*</t>
        </is>
      </c>
      <c r="C8" s="7" t="inlineStr">
        <is>
          <t>test_idea_needs_only_title, test_ideas_silent_by_default, test_idea_never_unlocks_or_counts, test_activate_idea_keeps_details_and_evaluates, test_close_and_reopen_idea, test_filter_by_for_whom, test_cover_photo_signed_link_and_cleanup, test_ideas_in_search, test_migration_defaults_existing_rewards</t>
        </is>
      </c>
    </row>
    <row r="9">
      <c r="A9" s="7" t="inlineStr">
        <is>
          <t>LLR-11.1–11.13; BR-R22–R26; LLR-8.12</t>
        </is>
      </c>
      <c r="B9" s="7" t="inlineStr">
        <is>
          <t>tasks, rewards, /dashboard/summary</t>
        </is>
      </c>
      <c r="C9" s="7" t="inlineStr">
        <is>
          <t>test_task_planning_fields_round_trip, test_overdue_rules, test_due_filters_milestones_and_sort, test_milestone_reward_needs_all_milestones, test_dashboard_overdue_and_milestones, test_migration_defaults_existing_tasks; quiet completion and celebrations verified in the browser; ⏳ test_silent_tasks_invisible_without_passcode comes with the passcode</t>
        </is>
      </c>
    </row>
    <row r="10">
      <c r="A10" s="7" t="inlineStr">
        <is>
          <t>LLR-10.1–10.12; BR-R20–R21; LLR-8.11</t>
        </is>
      </c>
      <c r="B10" s="7" t="inlineStr">
        <is>
          <t>details, files, /search</t>
        </is>
      </c>
      <c r="C10" s="7" t="inlineStr">
        <is>
          <t>test_details_grouped_by_topic_with_last_executive, test_tile_level_details_for_home_wide_services, test_contact_validation, test_edit_and_delete_items, test_file_upload_rules_and_signed_download, test_search_matches_names_topics_and_phone_digits, test_deleting_owner_removes_details_and_files, test_export_import_includes_details; read-only view test comes with the passcode work</t>
        </is>
      </c>
    </row>
    <row r="11">
      <c r="A11" s="7" t="inlineStr">
        <is>
          <t>LLR-2.1, 2.3–2.5, 2.8, 2.9</t>
        </is>
      </c>
      <c r="B11" s="7" t="inlineStr">
        <is>
          <t>POST /areas/{id}/tasks, GET /areas/{id}/tasks, PATCH /tasks/{id}, GET /tasks</t>
        </is>
      </c>
      <c r="C11" s="7" t="inlineStr">
        <is>
          <t>test_create_filter_and_order_tasks</t>
        </is>
      </c>
    </row>
    <row r="12">
      <c r="A12" s="7" t="inlineStr">
        <is>
          <t>LLR-2.11–2.14; BR-R32</t>
        </is>
      </c>
      <c r="B12" s="7" t="inlineStr">
        <is>
          <t>PUT /areas/{id}/tasks/order, GET /areas/{id}/tasks, GET /tasks</t>
        </is>
      </c>
      <c r="C12" s="7" t="inlineStr">
        <is>
          <t>test_new_task_goes_last, test_reorder_needs_every_active_task_once, test_done_tasks_keep_their_place, test_completing_editing_and_due_sort_never_reorder, test_order_shared_by_area_and_tasks_lists, test_moved_task_goes_last, test_migration_keeps_priority_order; mouse drag, keyboard reorder and the due-date view verified in the browser</t>
        </is>
      </c>
    </row>
    <row r="13">
      <c r="A13" s="7" t="inlineStr">
        <is>
          <t>LLR-2.10</t>
        </is>
      </c>
      <c r="B13" s="7" t="inlineStr">
        <is>
          <t>PATCH /tasks/{id}, DELETE /tasks/{id}</t>
        </is>
      </c>
      <c r="C13" s="7" t="inlineStr">
        <is>
          <t>test_edit_and_delete_task</t>
        </is>
      </c>
    </row>
    <row r="14">
      <c r="A14" s="7" t="inlineStr">
        <is>
          <t>LLR-3.1, 3.6, 3.7; BR-R2–R4</t>
        </is>
      </c>
      <c r="B14" s="7" t="inlineStr">
        <is>
          <t>POST /tasks/{id}/complete, GET /tasks/{id}/activity, GET /tasks/{id}</t>
        </is>
      </c>
      <c r="C14" s="7" t="inlineStr">
        <is>
          <t>test_completions_build_streak_and_activity_log, test_daily_streak, test_weekly_streak</t>
        </is>
      </c>
    </row>
    <row r="15">
      <c r="A15" s="7" t="inlineStr">
        <is>
          <t>LLR-3.3–3.5; BR-R4, R5</t>
        </is>
      </c>
      <c r="B15" s="7" t="inlineStr">
        <is>
          <t>POST /tasks/{id}/complete</t>
        </is>
      </c>
      <c r="C15" s="7" t="inlineStr">
        <is>
          <t>test_completion_rules, test_one_off_streak_is_done_or_not</t>
        </is>
      </c>
    </row>
    <row r="16">
      <c r="A16" s="7" t="inlineStr">
        <is>
          <t>LLR-4.1, 4.2, 4.6, 4.7; BR-R7, R9, R10</t>
        </is>
      </c>
      <c r="B16" s="7" t="inlineStr">
        <is>
          <t>/rewards*</t>
        </is>
      </c>
      <c r="C16" s="7" t="inlineStr">
        <is>
          <t>test_reward_unlocks_on_completion_count_then_claim, test_reward_already_met_unlocks_on_create_and_rejects_unknown_tasks, test_completions_rule_progress</t>
        </is>
      </c>
    </row>
    <row r="17">
      <c r="A17" s="7" t="inlineStr">
        <is>
          <t>BR-R8</t>
        </is>
      </c>
      <c r="B17" s="7" t="inlineStr">
        <is>
          <t>/rewards*</t>
        </is>
      </c>
      <c r="C17" s="7" t="inlineStr">
        <is>
          <t>test_streak_reward_uses_best_current_streak_across_tasks, test_streak_rule_progress</t>
        </is>
      </c>
    </row>
    <row r="18">
      <c r="A18" s="7" t="inlineStr">
        <is>
          <t>BR-R11</t>
        </is>
      </c>
      <c r="B18" s="7" t="inlineStr">
        <is>
          <t>—</t>
        </is>
      </c>
      <c r="C18" s="7" t="inlineStr">
        <is>
          <t>test_unlocked_reward_stays_complete_after_streak_breaks</t>
        </is>
      </c>
    </row>
    <row r="19">
      <c r="A19" s="7" t="inlineStr">
        <is>
          <t>LLR-5.1, 5.9, 5.10</t>
        </is>
      </c>
      <c r="B19" s="7" t="inlineStr">
        <is>
          <t>GET /dashboard/summary</t>
        </is>
      </c>
      <c r="C19" s="7" t="inlineStr">
        <is>
          <t>test_dashboard_summary_is_flat_snake_case</t>
        </is>
      </c>
    </row>
    <row r="20">
      <c r="A20" s="7" t="inlineStr">
        <is>
          <t>LLR-8.1</t>
        </is>
      </c>
      <c r="B20" s="7" t="inlineStr">
        <is>
          <t>all</t>
        </is>
      </c>
      <c r="C20" s="7" t="inlineStr">
        <is>
          <t>test_requires_demo_token</t>
        </is>
      </c>
    </row>
    <row r="21">
      <c r="A21" s="7" t="inlineStr">
        <is>
          <t>LLR-7.x, 5.2–5.8</t>
        </is>
      </c>
      <c r="B21" s="7" t="inlineStr">
        <is>
          <t>—</t>
        </is>
      </c>
      <c r="C21" s="7" t="inlineStr">
        <is>
          <t>Manual E2E (browser, 375 px); planned Playwright smoke</t>
        </is>
      </c>
    </row>
    <row r="22">
      <c r="A22" s="7" t="inlineStr">
        <is>
          <t>LLR-6.x</t>
        </is>
      </c>
      <c r="B22" s="7" t="inlineStr">
        <is>
          <t>⏳</t>
        </is>
      </c>
      <c r="C22" s="7" t="inlineStr">
        <is>
          <t>planned: adapter tests with FakeVisionAdapter, fallback tests</t>
        </is>
      </c>
    </row>
    <row r="23">
      <c r="A23" s="7" t="inlineStr">
        <is>
          <t>LLR-4.9–4.17; LLR-8.7, 8.8</t>
        </is>
      </c>
      <c r="B23" s="7" t="inlineStr">
        <is>
          <t>/rewards*, /rewards/{id}/tasks/{taskId}</t>
        </is>
      </c>
      <c r="C23" s="7" t="inlineStr">
        <is>
          <t>test_reward_needs_only_a_title, test_area_rewards_are_kept_in_an_area_but_link_anywhere, test_link_any_task_to_any_reward, test_linked_task_counts_unlock_the_reward, test_linking_tasks_already_done_enough_unlocks_immediately, test_rewards_outlive_tiles_areas_and_tasks, test_delete_reward_keeps_tasks, test_older_all_tasks_in_area_rewards_keep_counting</t>
        </is>
      </c>
    </row>
    <row r="24">
      <c r="A24" s="7" t="inlineStr">
        <is>
          <t>LLR-8.9; NFR-D8</t>
        </is>
      </c>
      <c r="B24" s="7" t="inlineStr">
        <is>
          <t>startup migrations, app.backup</t>
        </is>
      </c>
      <c r="C24" s="7" t="inlineStr">
        <is>
          <t>test_models_match_migrations, test_pre_migration_database_is_stamped_not_rebuilt, test_migrate_is_idempotent, test_export_import_round_trip, test_import_refuses_non_empty_target_without_replace</t>
        </is>
      </c>
    </row>
    <row r="25">
      <c r="A25" s="7" t="inlineStr">
        <is>
          <t>LLR-4.18; BR-R16</t>
        </is>
      </c>
      <c r="B25" s="7" t="inlineStr">
        <is>
          <t>migration 0003_reward_scope</t>
        </is>
      </c>
      <c r="C25" s="7" t="inlineStr">
        <is>
          <t>test_migration_infers_scope_and_keeps_data (runs against a database at 0002_details)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2026-10-03T16:34:41Z</dcterms:created>
  <dcterms:modified xsi:type="dcterms:W3CDTF">2026-10-03T16:34:42Z</dcterms:modified>
</cp:coreProperties>
</file>